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G:\Meu Drive\LIGHT\PROJETOS\OII-25-2249\"/>
    </mc:Choice>
  </mc:AlternateContent>
  <xr:revisionPtr revIDLastSave="0" documentId="8_{568B8C89-8353-4855-868A-EBA91778B6D3}" xr6:coauthVersionLast="47" xr6:coauthVersionMax="47" xr10:uidLastSave="{00000000-0000-0000-0000-000000000000}"/>
  <bookViews>
    <workbookView xWindow="-108" yWindow="-108" windowWidth="23256" windowHeight="12456" tabRatio="844" firstSheet="7" activeTab="16" xr2:uid="{00000000-000D-0000-FFFF-FFFF00000000}"/>
  </bookViews>
  <sheets>
    <sheet name="Plan1" sheetId="7" r:id="rId1"/>
    <sheet name="Plan4" sheetId="11" r:id="rId2"/>
    <sheet name="Ponto (1)" sheetId="9" r:id="rId3"/>
    <sheet name="Ponto (2)" sheetId="12" r:id="rId4"/>
    <sheet name="Ponto (3)" sheetId="13" r:id="rId5"/>
    <sheet name="Ponto (4)" sheetId="14" r:id="rId6"/>
    <sheet name="Ponto (5)" sheetId="15" r:id="rId7"/>
    <sheet name="Ponto (6)" sheetId="16" r:id="rId8"/>
    <sheet name="Ponto (8)" sheetId="17" r:id="rId9"/>
    <sheet name="Ponto (10)" sheetId="18" r:id="rId10"/>
    <sheet name="Ponto (13)" sheetId="19" r:id="rId11"/>
    <sheet name="Ponto (15)" sheetId="20" r:id="rId12"/>
    <sheet name="Ponto (17)" sheetId="22" r:id="rId13"/>
    <sheet name="Ponto (18)" sheetId="21" r:id="rId14"/>
    <sheet name="Ponto (21)" sheetId="23" r:id="rId15"/>
    <sheet name="Ponto (23)" sheetId="24" r:id="rId16"/>
    <sheet name="Ponto (25)" sheetId="25" r:id="rId17"/>
  </sheets>
  <definedNames>
    <definedName name="_xlnm.Print_Area" localSheetId="2">'Ponto (1)'!$B$1:$M$133</definedName>
    <definedName name="_xlnm.Print_Area" localSheetId="9">'Ponto (10)'!$B$1:$M$133</definedName>
    <definedName name="_xlnm.Print_Area" localSheetId="10">'Ponto (13)'!$B$1:$M$133</definedName>
    <definedName name="_xlnm.Print_Area" localSheetId="11">'Ponto (15)'!$B$1:$M$133</definedName>
    <definedName name="_xlnm.Print_Area" localSheetId="12">'Ponto (17)'!$B$1:$M$133</definedName>
    <definedName name="_xlnm.Print_Area" localSheetId="13">'Ponto (18)'!$B$1:$M$133</definedName>
    <definedName name="_xlnm.Print_Area" localSheetId="3">'Ponto (2)'!$B$1:$M$133</definedName>
    <definedName name="_xlnm.Print_Area" localSheetId="14">'Ponto (21)'!$B$1:$M$133</definedName>
    <definedName name="_xlnm.Print_Area" localSheetId="15">'Ponto (23)'!$B$1:$M$133</definedName>
    <definedName name="_xlnm.Print_Area" localSheetId="16">'Ponto (25)'!$B$1:$M$133</definedName>
    <definedName name="_xlnm.Print_Area" localSheetId="4">'Ponto (3)'!$B$1:$M$133</definedName>
    <definedName name="_xlnm.Print_Area" localSheetId="5">'Ponto (4)'!$B$1:$M$133</definedName>
    <definedName name="_xlnm.Print_Area" localSheetId="6">'Ponto (5)'!$B$1:$M$133</definedName>
    <definedName name="_xlnm.Print_Area" localSheetId="7">'Ponto (6)'!$B$1:$M$133</definedName>
    <definedName name="_xlnm.Print_Area" localSheetId="8">'Ponto (8)'!$B$1:$M$133</definedName>
    <definedName name="Poste" localSheetId="9">OFFSET(Plan4!$A$20,1,MATCH('Ponto (10)'!$C$7,Plan4!$A$20:$D$20,0)-1,12,1)</definedName>
    <definedName name="Poste" localSheetId="10">OFFSET(Plan4!$A$20,1,MATCH('Ponto (13)'!$C$7,Plan4!$A$20:$D$20,0)-1,12,1)</definedName>
    <definedName name="Poste" localSheetId="11">OFFSET(Plan4!$A$20,1,MATCH('Ponto (15)'!$C$7,Plan4!$A$20:$D$20,0)-1,12,1)</definedName>
    <definedName name="Poste" localSheetId="12">OFFSET(Plan4!$A$20,1,MATCH('Ponto (17)'!$C$7,Plan4!$A$20:$D$20,0)-1,12,1)</definedName>
    <definedName name="Poste" localSheetId="13">OFFSET(Plan4!$A$20,1,MATCH('Ponto (18)'!$C$7,Plan4!$A$20:$D$20,0)-1,12,1)</definedName>
    <definedName name="Poste" localSheetId="3">OFFSET(Plan4!$A$20,1,MATCH('Ponto (2)'!$C$7,Plan4!$A$20:$D$20,0)-1,12,1)</definedName>
    <definedName name="Poste" localSheetId="14">OFFSET(Plan4!$A$20,1,MATCH('Ponto (21)'!$C$7,Plan4!$A$20:$D$20,0)-1,12,1)</definedName>
    <definedName name="Poste" localSheetId="15">OFFSET(Plan4!$A$20,1,MATCH('Ponto (23)'!$C$7,Plan4!$A$20:$D$20,0)-1,12,1)</definedName>
    <definedName name="Poste" localSheetId="16">OFFSET(Plan4!$A$20,1,MATCH('Ponto (25)'!$C$7,Plan4!$A$20:$D$20,0)-1,12,1)</definedName>
    <definedName name="Poste" localSheetId="4">OFFSET(Plan4!$A$20,1,MATCH('Ponto (3)'!$C$7,Plan4!$A$20:$D$20,0)-1,12,1)</definedName>
    <definedName name="Poste" localSheetId="5">OFFSET(Plan4!$A$20,1,MATCH('Ponto (4)'!$C$7,Plan4!$A$20:$D$20,0)-1,12,1)</definedName>
    <definedName name="Poste" localSheetId="6">OFFSET(Plan4!$A$20,1,MATCH('Ponto (5)'!$C$7,Plan4!$A$20:$D$20,0)-1,12,1)</definedName>
    <definedName name="Poste" localSheetId="7">OFFSET(Plan4!$A$20,1,MATCH('Ponto (6)'!$C$7,Plan4!$A$20:$D$20,0)-1,12,1)</definedName>
    <definedName name="Poste" localSheetId="8">OFFSET(Plan4!$A$20,1,MATCH('Ponto (8)'!$C$7,Plan4!$A$20:$D$20,0)-1,12,1)</definedName>
    <definedName name="Poste">OFFSET(Plan4!$A$20,1,MATCH('Ponto (1)'!$C$7,Plan4!$A$20:$D$20,0)-1,12,1)</definedName>
    <definedName name="Tipo" localSheetId="9">OFFSET(Plan4!$A$1,1,MATCH('Ponto (10)'!$C$12,Plan4!$A$1:$C$1,0)-1,8,1)</definedName>
    <definedName name="Tipo" localSheetId="10">OFFSET(Plan4!$A$1,1,MATCH('Ponto (13)'!$C$12,Plan4!$A$1:$C$1,0)-1,8,1)</definedName>
    <definedName name="Tipo" localSheetId="11">OFFSET(Plan4!$A$1,1,MATCH('Ponto (15)'!$C$12,Plan4!$A$1:$C$1,0)-1,8,1)</definedName>
    <definedName name="Tipo" localSheetId="12">OFFSET(Plan4!$A$1,1,MATCH('Ponto (17)'!$C$12,Plan4!$A$1:$C$1,0)-1,8,1)</definedName>
    <definedName name="Tipo" localSheetId="13">OFFSET(Plan4!$A$1,1,MATCH('Ponto (18)'!$C$12,Plan4!$A$1:$C$1,0)-1,8,1)</definedName>
    <definedName name="Tipo" localSheetId="3">OFFSET(Plan4!$A$1,1,MATCH('Ponto (2)'!$C$12,Plan4!$A$1:$C$1,0)-1,8,1)</definedName>
    <definedName name="Tipo" localSheetId="14">OFFSET(Plan4!$A$1,1,MATCH('Ponto (21)'!$C$12,Plan4!$A$1:$C$1,0)-1,8,1)</definedName>
    <definedName name="Tipo" localSheetId="15">OFFSET(Plan4!$A$1,1,MATCH('Ponto (23)'!$C$12,Plan4!$A$1:$C$1,0)-1,8,1)</definedName>
    <definedName name="Tipo" localSheetId="16">OFFSET(Plan4!$A$1,1,MATCH('Ponto (25)'!$C$12,Plan4!$A$1:$C$1,0)-1,8,1)</definedName>
    <definedName name="Tipo" localSheetId="4">OFFSET(Plan4!$A$1,1,MATCH('Ponto (3)'!$C$12,Plan4!$A$1:$C$1,0)-1,8,1)</definedName>
    <definedName name="Tipo" localSheetId="5">OFFSET(Plan4!$A$1,1,MATCH('Ponto (4)'!$C$12,Plan4!$A$1:$C$1,0)-1,8,1)</definedName>
    <definedName name="Tipo" localSheetId="6">OFFSET(Plan4!$A$1,1,MATCH('Ponto (5)'!$C$12,Plan4!$A$1:$C$1,0)-1,8,1)</definedName>
    <definedName name="Tipo" localSheetId="7">OFFSET(Plan4!$A$1,1,MATCH('Ponto (6)'!$C$12,Plan4!$A$1:$C$1,0)-1,8,1)</definedName>
    <definedName name="Tipo" localSheetId="8">OFFSET(Plan4!$A$1,1,MATCH('Ponto (8)'!$C$12,Plan4!$A$1:$C$1,0)-1,8,1)</definedName>
    <definedName name="Tipo">OFFSET(Plan4!$A$1,1,MATCH('Ponto (1)'!$C$12,Plan4!$A$1:$C$1,0)-1,8,1)</definedName>
    <definedName name="Tipo10" localSheetId="9">OFFSET(Plan4!$A$13,1,MATCH('Ponto (10)'!$F$64,Plan4!$A$13:$C$13,0)-1,3,1)</definedName>
    <definedName name="Tipo10" localSheetId="10">OFFSET(Plan4!$A$13,1,MATCH('Ponto (13)'!$F$64,Plan4!$A$13:$C$13,0)-1,3,1)</definedName>
    <definedName name="Tipo10" localSheetId="11">OFFSET(Plan4!$A$13,1,MATCH('Ponto (15)'!$F$64,Plan4!$A$13:$C$13,0)-1,3,1)</definedName>
    <definedName name="Tipo10" localSheetId="12">OFFSET(Plan4!$A$13,1,MATCH('Ponto (17)'!$F$64,Plan4!$A$13:$C$13,0)-1,3,1)</definedName>
    <definedName name="Tipo10" localSheetId="13">OFFSET(Plan4!$A$13,1,MATCH('Ponto (18)'!$F$64,Plan4!$A$13:$C$13,0)-1,3,1)</definedName>
    <definedName name="Tipo10" localSheetId="3">OFFSET(Plan4!$A$13,1,MATCH('Ponto (2)'!$F$64,Plan4!$A$13:$C$13,0)-1,3,1)</definedName>
    <definedName name="Tipo10" localSheetId="14">OFFSET(Plan4!$A$13,1,MATCH('Ponto (21)'!$F$64,Plan4!$A$13:$C$13,0)-1,3,1)</definedName>
    <definedName name="Tipo10" localSheetId="15">OFFSET(Plan4!$A$13,1,MATCH('Ponto (23)'!$F$64,Plan4!$A$13:$C$13,0)-1,3,1)</definedName>
    <definedName name="Tipo10" localSheetId="16">OFFSET(Plan4!$A$13,1,MATCH('Ponto (25)'!$F$64,Plan4!$A$13:$C$13,0)-1,3,1)</definedName>
    <definedName name="Tipo10" localSheetId="4">OFFSET(Plan4!$A$13,1,MATCH('Ponto (3)'!$F$64,Plan4!$A$13:$C$13,0)-1,3,1)</definedName>
    <definedName name="Tipo10" localSheetId="5">OFFSET(Plan4!$A$13,1,MATCH('Ponto (4)'!$F$64,Plan4!$A$13:$C$13,0)-1,3,1)</definedName>
    <definedName name="Tipo10" localSheetId="6">OFFSET(Plan4!$A$13,1,MATCH('Ponto (5)'!$F$64,Plan4!$A$13:$C$13,0)-1,3,1)</definedName>
    <definedName name="Tipo10" localSheetId="7">OFFSET(Plan4!$A$13,1,MATCH('Ponto (6)'!$F$64,Plan4!$A$13:$C$13,0)-1,3,1)</definedName>
    <definedName name="Tipo10" localSheetId="8">OFFSET(Plan4!$A$13,1,MATCH('Ponto (8)'!$F$64,Plan4!$A$13:$C$13,0)-1,3,1)</definedName>
    <definedName name="Tipo10">OFFSET(Plan4!$A$13,1,MATCH('Ponto (1)'!$F$64,Plan4!$A$13:$C$13,0)-1,3,1)</definedName>
    <definedName name="Tipo11" localSheetId="9">OFFSET(Plan4!$A$13,1,MATCH('Ponto (10)'!$I$64,Plan4!$A$13:$C$13,0)-1,3,1)</definedName>
    <definedName name="Tipo11" localSheetId="10">OFFSET(Plan4!$A$13,1,MATCH('Ponto (13)'!$I$64,Plan4!$A$13:$C$13,0)-1,3,1)</definedName>
    <definedName name="Tipo11" localSheetId="11">OFFSET(Plan4!$A$13,1,MATCH('Ponto (15)'!$I$64,Plan4!$A$13:$C$13,0)-1,3,1)</definedName>
    <definedName name="Tipo11" localSheetId="12">OFFSET(Plan4!$A$13,1,MATCH('Ponto (17)'!$I$64,Plan4!$A$13:$C$13,0)-1,3,1)</definedName>
    <definedName name="Tipo11" localSheetId="13">OFFSET(Plan4!$A$13,1,MATCH('Ponto (18)'!$I$64,Plan4!$A$13:$C$13,0)-1,3,1)</definedName>
    <definedName name="Tipo11" localSheetId="3">OFFSET(Plan4!$A$13,1,MATCH('Ponto (2)'!$I$64,Plan4!$A$13:$C$13,0)-1,3,1)</definedName>
    <definedName name="Tipo11" localSheetId="14">OFFSET(Plan4!$A$13,1,MATCH('Ponto (21)'!$I$64,Plan4!$A$13:$C$13,0)-1,3,1)</definedName>
    <definedName name="Tipo11" localSheetId="15">OFFSET(Plan4!$A$13,1,MATCH('Ponto (23)'!$I$64,Plan4!$A$13:$C$13,0)-1,3,1)</definedName>
    <definedName name="Tipo11" localSheetId="16">OFFSET(Plan4!$A$13,1,MATCH('Ponto (25)'!$I$64,Plan4!$A$13:$C$13,0)-1,3,1)</definedName>
    <definedName name="Tipo11" localSheetId="4">OFFSET(Plan4!$A$13,1,MATCH('Ponto (3)'!$I$64,Plan4!$A$13:$C$13,0)-1,3,1)</definedName>
    <definedName name="Tipo11" localSheetId="5">OFFSET(Plan4!$A$13,1,MATCH('Ponto (4)'!$I$64,Plan4!$A$13:$C$13,0)-1,3,1)</definedName>
    <definedName name="Tipo11" localSheetId="6">OFFSET(Plan4!$A$13,1,MATCH('Ponto (5)'!$I$64,Plan4!$A$13:$C$13,0)-1,3,1)</definedName>
    <definedName name="Tipo11" localSheetId="7">OFFSET(Plan4!$A$13,1,MATCH('Ponto (6)'!$I$64,Plan4!$A$13:$C$13,0)-1,3,1)</definedName>
    <definedName name="Tipo11" localSheetId="8">OFFSET(Plan4!$A$13,1,MATCH('Ponto (8)'!$I$64,Plan4!$A$13:$C$13,0)-1,3,1)</definedName>
    <definedName name="Tipo11">OFFSET(Plan4!$A$13,1,MATCH('Ponto (1)'!$I$64,Plan4!$A$13:$C$13,0)-1,3,1)</definedName>
    <definedName name="Tipo12" localSheetId="9">OFFSET(Plan4!$A$13,1,MATCH('Ponto (10)'!$L$64,Plan4!$A$13:$C$13,0)-1,3,1)</definedName>
    <definedName name="Tipo12" localSheetId="10">OFFSET(Plan4!$A$13,1,MATCH('Ponto (13)'!$L$64,Plan4!$A$13:$C$13,0)-1,3,1)</definedName>
    <definedName name="Tipo12" localSheetId="11">OFFSET(Plan4!$A$13,1,MATCH('Ponto (15)'!$L$64,Plan4!$A$13:$C$13,0)-1,3,1)</definedName>
    <definedName name="Tipo12" localSheetId="12">OFFSET(Plan4!$A$13,1,MATCH('Ponto (17)'!$L$64,Plan4!$A$13:$C$13,0)-1,3,1)</definedName>
    <definedName name="Tipo12" localSheetId="13">OFFSET(Plan4!$A$13,1,MATCH('Ponto (18)'!$L$64,Plan4!$A$13:$C$13,0)-1,3,1)</definedName>
    <definedName name="Tipo12" localSheetId="3">OFFSET(Plan4!$A$13,1,MATCH('Ponto (2)'!$L$64,Plan4!$A$13:$C$13,0)-1,3,1)</definedName>
    <definedName name="Tipo12" localSheetId="14">OFFSET(Plan4!$A$13,1,MATCH('Ponto (21)'!$L$64,Plan4!$A$13:$C$13,0)-1,3,1)</definedName>
    <definedName name="Tipo12" localSheetId="15">OFFSET(Plan4!$A$13,1,MATCH('Ponto (23)'!$L$64,Plan4!$A$13:$C$13,0)-1,3,1)</definedName>
    <definedName name="Tipo12" localSheetId="16">OFFSET(Plan4!$A$13,1,MATCH('Ponto (25)'!$L$64,Plan4!$A$13:$C$13,0)-1,3,1)</definedName>
    <definedName name="Tipo12" localSheetId="4">OFFSET(Plan4!$A$13,1,MATCH('Ponto (3)'!$L$64,Plan4!$A$13:$C$13,0)-1,3,1)</definedName>
    <definedName name="Tipo12" localSheetId="5">OFFSET(Plan4!$A$13,1,MATCH('Ponto (4)'!$L$64,Plan4!$A$13:$C$13,0)-1,3,1)</definedName>
    <definedName name="Tipo12" localSheetId="6">OFFSET(Plan4!$A$13,1,MATCH('Ponto (5)'!$L$64,Plan4!$A$13:$C$13,0)-1,3,1)</definedName>
    <definedName name="Tipo12" localSheetId="7">OFFSET(Plan4!$A$13,1,MATCH('Ponto (6)'!$L$64,Plan4!$A$13:$C$13,0)-1,3,1)</definedName>
    <definedName name="Tipo12" localSheetId="8">OFFSET(Plan4!$A$13,1,MATCH('Ponto (8)'!$L$64,Plan4!$A$13:$C$13,0)-1,3,1)</definedName>
    <definedName name="Tipo12">OFFSET(Plan4!$A$13,1,MATCH('Ponto (1)'!$L$64,Plan4!$A$13:$C$13,0)-1,3,1)</definedName>
    <definedName name="Tipo2" localSheetId="9">OFFSET(Plan4!$A$1,1,MATCH('Ponto (10)'!$F$12,Plan4!$A$1:$C$1,0)-1,8,1)</definedName>
    <definedName name="Tipo2" localSheetId="10">OFFSET(Plan4!$A$1,1,MATCH('Ponto (13)'!$F$12,Plan4!$A$1:$C$1,0)-1,8,1)</definedName>
    <definedName name="Tipo2" localSheetId="11">OFFSET(Plan4!$A$1,1,MATCH('Ponto (15)'!$F$12,Plan4!$A$1:$C$1,0)-1,8,1)</definedName>
    <definedName name="Tipo2" localSheetId="12">OFFSET(Plan4!$A$1,1,MATCH('Ponto (17)'!$F$12,Plan4!$A$1:$C$1,0)-1,8,1)</definedName>
    <definedName name="Tipo2" localSheetId="13">OFFSET(Plan4!$A$1,1,MATCH('Ponto (18)'!$F$12,Plan4!$A$1:$C$1,0)-1,8,1)</definedName>
    <definedName name="Tipo2" localSheetId="3">OFFSET(Plan4!$A$1,1,MATCH('Ponto (2)'!$F$12,Plan4!$A$1:$C$1,0)-1,8,1)</definedName>
    <definedName name="Tipo2" localSheetId="14">OFFSET(Plan4!$A$1,1,MATCH('Ponto (21)'!$F$12,Plan4!$A$1:$C$1,0)-1,8,1)</definedName>
    <definedName name="Tipo2" localSheetId="15">OFFSET(Plan4!$A$1,1,MATCH('Ponto (23)'!$F$12,Plan4!$A$1:$C$1,0)-1,8,1)</definedName>
    <definedName name="Tipo2" localSheetId="16">OFFSET(Plan4!$A$1,1,MATCH('Ponto (25)'!$F$12,Plan4!$A$1:$C$1,0)-1,8,1)</definedName>
    <definedName name="Tipo2" localSheetId="4">OFFSET(Plan4!$A$1,1,MATCH('Ponto (3)'!$F$12,Plan4!$A$1:$C$1,0)-1,8,1)</definedName>
    <definedName name="Tipo2" localSheetId="5">OFFSET(Plan4!$A$1,1,MATCH('Ponto (4)'!$F$12,Plan4!$A$1:$C$1,0)-1,8,1)</definedName>
    <definedName name="Tipo2" localSheetId="6">OFFSET(Plan4!$A$1,1,MATCH('Ponto (5)'!$F$12,Plan4!$A$1:$C$1,0)-1,8,1)</definedName>
    <definedName name="Tipo2" localSheetId="7">OFFSET(Plan4!$A$1,1,MATCH('Ponto (6)'!$F$12,Plan4!$A$1:$C$1,0)-1,8,1)</definedName>
    <definedName name="Tipo2" localSheetId="8">OFFSET(Plan4!$A$1,1,MATCH('Ponto (8)'!$F$12,Plan4!$A$1:$C$1,0)-1,8,1)</definedName>
    <definedName name="Tipo2">OFFSET(Plan4!$A$1,1,MATCH('Ponto (1)'!$F$12,Plan4!$A$1:$C$1,0)-1,8,1)</definedName>
    <definedName name="Tipo3" localSheetId="9">OFFSET(Plan4!$A$1,1,MATCH('Ponto (10)'!$I$12,Plan4!$A$1:$C$1,0)-1,8,1)</definedName>
    <definedName name="Tipo3" localSheetId="10">OFFSET(Plan4!$A$1,1,MATCH('Ponto (13)'!$I$12,Plan4!$A$1:$C$1,0)-1,8,1)</definedName>
    <definedName name="Tipo3" localSheetId="11">OFFSET(Plan4!$A$1,1,MATCH('Ponto (15)'!$I$12,Plan4!$A$1:$C$1,0)-1,8,1)</definedName>
    <definedName name="Tipo3" localSheetId="12">OFFSET(Plan4!$A$1,1,MATCH('Ponto (17)'!$I$12,Plan4!$A$1:$C$1,0)-1,8,1)</definedName>
    <definedName name="Tipo3" localSheetId="13">OFFSET(Plan4!$A$1,1,MATCH('Ponto (18)'!$I$12,Plan4!$A$1:$C$1,0)-1,8,1)</definedName>
    <definedName name="Tipo3" localSheetId="3">OFFSET(Plan4!$A$1,1,MATCH('Ponto (2)'!$I$12,Plan4!$A$1:$C$1,0)-1,8,1)</definedName>
    <definedName name="Tipo3" localSheetId="14">OFFSET(Plan4!$A$1,1,MATCH('Ponto (21)'!$I$12,Plan4!$A$1:$C$1,0)-1,8,1)</definedName>
    <definedName name="Tipo3" localSheetId="15">OFFSET(Plan4!$A$1,1,MATCH('Ponto (23)'!$I$12,Plan4!$A$1:$C$1,0)-1,8,1)</definedName>
    <definedName name="Tipo3" localSheetId="16">OFFSET(Plan4!$A$1,1,MATCH('Ponto (25)'!$I$12,Plan4!$A$1:$C$1,0)-1,8,1)</definedName>
    <definedName name="Tipo3" localSheetId="4">OFFSET(Plan4!$A$1,1,MATCH('Ponto (3)'!$I$12,Plan4!$A$1:$C$1,0)-1,8,1)</definedName>
    <definedName name="Tipo3" localSheetId="5">OFFSET(Plan4!$A$1,1,MATCH('Ponto (4)'!$I$12,Plan4!$A$1:$C$1,0)-1,8,1)</definedName>
    <definedName name="Tipo3" localSheetId="6">OFFSET(Plan4!$A$1,1,MATCH('Ponto (5)'!$I$12,Plan4!$A$1:$C$1,0)-1,8,1)</definedName>
    <definedName name="Tipo3" localSheetId="7">OFFSET(Plan4!$A$1,1,MATCH('Ponto (6)'!$I$12,Plan4!$A$1:$C$1,0)-1,8,1)</definedName>
    <definedName name="Tipo3" localSheetId="8">OFFSET(Plan4!$A$1,1,MATCH('Ponto (8)'!$I$12,Plan4!$A$1:$C$1,0)-1,8,1)</definedName>
    <definedName name="Tipo3">OFFSET(Plan4!$A$1,1,MATCH('Ponto (1)'!$I$12,Plan4!$A$1:$C$1,0)-1,8,1)</definedName>
    <definedName name="Tipo4" localSheetId="9">OFFSET(Plan4!$A$1,1,MATCH('Ponto (10)'!$L$12,Plan4!$A$1:$C$1,0)-1,8,1)</definedName>
    <definedName name="Tipo4" localSheetId="10">OFFSET(Plan4!$A$1,1,MATCH('Ponto (13)'!$L$12,Plan4!$A$1:$C$1,0)-1,8,1)</definedName>
    <definedName name="Tipo4" localSheetId="11">OFFSET(Plan4!$A$1,1,MATCH('Ponto (15)'!$L$12,Plan4!$A$1:$C$1,0)-1,8,1)</definedName>
    <definedName name="Tipo4" localSheetId="12">OFFSET(Plan4!$A$1,1,MATCH('Ponto (17)'!$L$12,Plan4!$A$1:$C$1,0)-1,8,1)</definedName>
    <definedName name="Tipo4" localSheetId="13">OFFSET(Plan4!$A$1,1,MATCH('Ponto (18)'!$L$12,Plan4!$A$1:$C$1,0)-1,8,1)</definedName>
    <definedName name="Tipo4" localSheetId="3">OFFSET(Plan4!$A$1,1,MATCH('Ponto (2)'!$L$12,Plan4!$A$1:$C$1,0)-1,8,1)</definedName>
    <definedName name="Tipo4" localSheetId="14">OFFSET(Plan4!$A$1,1,MATCH('Ponto (21)'!$L$12,Plan4!$A$1:$C$1,0)-1,8,1)</definedName>
    <definedName name="Tipo4" localSheetId="15">OFFSET(Plan4!$A$1,1,MATCH('Ponto (23)'!$L$12,Plan4!$A$1:$C$1,0)-1,8,1)</definedName>
    <definedName name="Tipo4" localSheetId="16">OFFSET(Plan4!$A$1,1,MATCH('Ponto (25)'!$L$12,Plan4!$A$1:$C$1,0)-1,8,1)</definedName>
    <definedName name="Tipo4" localSheetId="4">OFFSET(Plan4!$A$1,1,MATCH('Ponto (3)'!$L$12,Plan4!$A$1:$C$1,0)-1,8,1)</definedName>
    <definedName name="Tipo4" localSheetId="5">OFFSET(Plan4!$A$1,1,MATCH('Ponto (4)'!$L$12,Plan4!$A$1:$C$1,0)-1,8,1)</definedName>
    <definedName name="Tipo4" localSheetId="6">OFFSET(Plan4!$A$1,1,MATCH('Ponto (5)'!$L$12,Plan4!$A$1:$C$1,0)-1,8,1)</definedName>
    <definedName name="Tipo4" localSheetId="7">OFFSET(Plan4!$A$1,1,MATCH('Ponto (6)'!$L$12,Plan4!$A$1:$C$1,0)-1,8,1)</definedName>
    <definedName name="Tipo4" localSheetId="8">OFFSET(Plan4!$A$1,1,MATCH('Ponto (8)'!$L$12,Plan4!$A$1:$C$1,0)-1,8,1)</definedName>
    <definedName name="Tipo4">OFFSET(Plan4!$A$1,1,MATCH('Ponto (1)'!$L$12,Plan4!$A$1:$C$1,0)-1,8,1)</definedName>
    <definedName name="tipo5" localSheetId="9">OFFSET(Plan4!$A$1,1,MATCH('Ponto (10)'!$C$38,Plan4!$A$1:$C$1,0)-1,8,1)</definedName>
    <definedName name="tipo5" localSheetId="10">OFFSET(Plan4!$A$1,1,MATCH('Ponto (13)'!$C$38,Plan4!$A$1:$C$1,0)-1,8,1)</definedName>
    <definedName name="tipo5" localSheetId="11">OFFSET(Plan4!$A$1,1,MATCH('Ponto (15)'!$C$38,Plan4!$A$1:$C$1,0)-1,8,1)</definedName>
    <definedName name="tipo5" localSheetId="12">OFFSET(Plan4!$A$1,1,MATCH('Ponto (17)'!$C$38,Plan4!$A$1:$C$1,0)-1,8,1)</definedName>
    <definedName name="tipo5" localSheetId="13">OFFSET(Plan4!$A$1,1,MATCH('Ponto (18)'!$C$38,Plan4!$A$1:$C$1,0)-1,8,1)</definedName>
    <definedName name="tipo5" localSheetId="3">OFFSET(Plan4!$A$1,1,MATCH('Ponto (2)'!$C$38,Plan4!$A$1:$C$1,0)-1,8,1)</definedName>
    <definedName name="tipo5" localSheetId="14">OFFSET(Plan4!$A$1,1,MATCH('Ponto (21)'!$C$38,Plan4!$A$1:$C$1,0)-1,8,1)</definedName>
    <definedName name="tipo5" localSheetId="15">OFFSET(Plan4!$A$1,1,MATCH('Ponto (23)'!$C$38,Plan4!$A$1:$C$1,0)-1,8,1)</definedName>
    <definedName name="tipo5" localSheetId="16">OFFSET(Plan4!$A$1,1,MATCH('Ponto (25)'!$C$38,Plan4!$A$1:$C$1,0)-1,8,1)</definedName>
    <definedName name="tipo5" localSheetId="4">OFFSET(Plan4!$A$1,1,MATCH('Ponto (3)'!$C$38,Plan4!$A$1:$C$1,0)-1,8,1)</definedName>
    <definedName name="tipo5" localSheetId="5">OFFSET(Plan4!$A$1,1,MATCH('Ponto (4)'!$C$38,Plan4!$A$1:$C$1,0)-1,8,1)</definedName>
    <definedName name="tipo5" localSheetId="6">OFFSET(Plan4!$A$1,1,MATCH('Ponto (5)'!$C$38,Plan4!$A$1:$C$1,0)-1,8,1)</definedName>
    <definedName name="tipo5" localSheetId="7">OFFSET(Plan4!$A$1,1,MATCH('Ponto (6)'!$C$38,Plan4!$A$1:$C$1,0)-1,8,1)</definedName>
    <definedName name="tipo5" localSheetId="8">OFFSET(Plan4!$A$1,1,MATCH('Ponto (8)'!$C$38,Plan4!$A$1:$C$1,0)-1,8,1)</definedName>
    <definedName name="tipo5">OFFSET(Plan4!$A$1,1,MATCH('Ponto (1)'!$C$38,Plan4!$A$1:$C$1,0)-1,8,1)</definedName>
    <definedName name="Tipo6" localSheetId="9">OFFSET(Plan4!$A$1,1,MATCH('Ponto (10)'!$F$38,Plan4!$A$1:$C$1,0)-1,8,1)</definedName>
    <definedName name="Tipo6" localSheetId="10">OFFSET(Plan4!$A$1,1,MATCH('Ponto (13)'!$F$38,Plan4!$A$1:$C$1,0)-1,8,1)</definedName>
    <definedName name="Tipo6" localSheetId="11">OFFSET(Plan4!$A$1,1,MATCH('Ponto (15)'!$F$38,Plan4!$A$1:$C$1,0)-1,8,1)</definedName>
    <definedName name="Tipo6" localSheetId="12">OFFSET(Plan4!$A$1,1,MATCH('Ponto (17)'!$F$38,Plan4!$A$1:$C$1,0)-1,8,1)</definedName>
    <definedName name="Tipo6" localSheetId="13">OFFSET(Plan4!$A$1,1,MATCH('Ponto (18)'!$F$38,Plan4!$A$1:$C$1,0)-1,8,1)</definedName>
    <definedName name="Tipo6" localSheetId="3">OFFSET(Plan4!$A$1,1,MATCH('Ponto (2)'!$F$38,Plan4!$A$1:$C$1,0)-1,8,1)</definedName>
    <definedName name="Tipo6" localSheetId="14">OFFSET(Plan4!$A$1,1,MATCH('Ponto (21)'!$F$38,Plan4!$A$1:$C$1,0)-1,8,1)</definedName>
    <definedName name="Tipo6" localSheetId="15">OFFSET(Plan4!$A$1,1,MATCH('Ponto (23)'!$F$38,Plan4!$A$1:$C$1,0)-1,8,1)</definedName>
    <definedName name="Tipo6" localSheetId="16">OFFSET(Plan4!$A$1,1,MATCH('Ponto (25)'!$F$38,Plan4!$A$1:$C$1,0)-1,8,1)</definedName>
    <definedName name="Tipo6" localSheetId="4">OFFSET(Plan4!$A$1,1,MATCH('Ponto (3)'!$F$38,Plan4!$A$1:$C$1,0)-1,8,1)</definedName>
    <definedName name="Tipo6" localSheetId="5">OFFSET(Plan4!$A$1,1,MATCH('Ponto (4)'!$F$38,Plan4!$A$1:$C$1,0)-1,8,1)</definedName>
    <definedName name="Tipo6" localSheetId="6">OFFSET(Plan4!$A$1,1,MATCH('Ponto (5)'!$F$38,Plan4!$A$1:$C$1,0)-1,8,1)</definedName>
    <definedName name="Tipo6" localSheetId="7">OFFSET(Plan4!$A$1,1,MATCH('Ponto (6)'!$F$38,Plan4!$A$1:$C$1,0)-1,8,1)</definedName>
    <definedName name="Tipo6" localSheetId="8">OFFSET(Plan4!$A$1,1,MATCH('Ponto (8)'!$F$38,Plan4!$A$1:$C$1,0)-1,8,1)</definedName>
    <definedName name="Tipo6">OFFSET(Plan4!$A$1,1,MATCH('Ponto (1)'!$F$38,Plan4!$A$1:$C$1,0)-1,8,1)</definedName>
    <definedName name="Tipo7" localSheetId="9">OFFSET(Plan4!$A$1,1,MATCH('Ponto (10)'!$I$38,Plan4!$A$1:$C$1,0)-1,8,1)</definedName>
    <definedName name="Tipo7" localSheetId="10">OFFSET(Plan4!$A$1,1,MATCH('Ponto (13)'!$I$38,Plan4!$A$1:$C$1,0)-1,8,1)</definedName>
    <definedName name="Tipo7" localSheetId="11">OFFSET(Plan4!$A$1,1,MATCH('Ponto (15)'!$I$38,Plan4!$A$1:$C$1,0)-1,8,1)</definedName>
    <definedName name="Tipo7" localSheetId="12">OFFSET(Plan4!$A$1,1,MATCH('Ponto (17)'!$I$38,Plan4!$A$1:$C$1,0)-1,8,1)</definedName>
    <definedName name="Tipo7" localSheetId="13">OFFSET(Plan4!$A$1,1,MATCH('Ponto (18)'!$I$38,Plan4!$A$1:$C$1,0)-1,8,1)</definedName>
    <definedName name="Tipo7" localSheetId="3">OFFSET(Plan4!$A$1,1,MATCH('Ponto (2)'!$I$38,Plan4!$A$1:$C$1,0)-1,8,1)</definedName>
    <definedName name="Tipo7" localSheetId="14">OFFSET(Plan4!$A$1,1,MATCH('Ponto (21)'!$I$38,Plan4!$A$1:$C$1,0)-1,8,1)</definedName>
    <definedName name="Tipo7" localSheetId="15">OFFSET(Plan4!$A$1,1,MATCH('Ponto (23)'!$I$38,Plan4!$A$1:$C$1,0)-1,8,1)</definedName>
    <definedName name="Tipo7" localSheetId="16">OFFSET(Plan4!$A$1,1,MATCH('Ponto (25)'!$I$38,Plan4!$A$1:$C$1,0)-1,8,1)</definedName>
    <definedName name="Tipo7" localSheetId="4">OFFSET(Plan4!$A$1,1,MATCH('Ponto (3)'!$I$38,Plan4!$A$1:$C$1,0)-1,8,1)</definedName>
    <definedName name="Tipo7" localSheetId="5">OFFSET(Plan4!$A$1,1,MATCH('Ponto (4)'!$I$38,Plan4!$A$1:$C$1,0)-1,8,1)</definedName>
    <definedName name="Tipo7" localSheetId="6">OFFSET(Plan4!$A$1,1,MATCH('Ponto (5)'!$I$38,Plan4!$A$1:$C$1,0)-1,8,1)</definedName>
    <definedName name="Tipo7" localSheetId="7">OFFSET(Plan4!$A$1,1,MATCH('Ponto (6)'!$I$38,Plan4!$A$1:$C$1,0)-1,8,1)</definedName>
    <definedName name="Tipo7" localSheetId="8">OFFSET(Plan4!$A$1,1,MATCH('Ponto (8)'!$I$38,Plan4!$A$1:$C$1,0)-1,8,1)</definedName>
    <definedName name="Tipo7">OFFSET(Plan4!$A$1,1,MATCH('Ponto (1)'!$I$38,Plan4!$A$1:$C$1,0)-1,8,1)</definedName>
    <definedName name="Tipo8" localSheetId="9">OFFSET(Plan4!$A$1,1,MATCH('Ponto (10)'!$L$38,Plan4!$A$1:$C$1,0)-1,8,1)</definedName>
    <definedName name="Tipo8" localSheetId="10">OFFSET(Plan4!$A$1,1,MATCH('Ponto (13)'!$L$38,Plan4!$A$1:$C$1,0)-1,8,1)</definedName>
    <definedName name="Tipo8" localSheetId="11">OFFSET(Plan4!$A$1,1,MATCH('Ponto (15)'!$L$38,Plan4!$A$1:$C$1,0)-1,8,1)</definedName>
    <definedName name="Tipo8" localSheetId="12">OFFSET(Plan4!$A$1,1,MATCH('Ponto (17)'!$L$38,Plan4!$A$1:$C$1,0)-1,8,1)</definedName>
    <definedName name="Tipo8" localSheetId="13">OFFSET(Plan4!$A$1,1,MATCH('Ponto (18)'!$L$38,Plan4!$A$1:$C$1,0)-1,8,1)</definedName>
    <definedName name="Tipo8" localSheetId="3">OFFSET(Plan4!$A$1,1,MATCH('Ponto (2)'!$L$38,Plan4!$A$1:$C$1,0)-1,8,1)</definedName>
    <definedName name="Tipo8" localSheetId="14">OFFSET(Plan4!$A$1,1,MATCH('Ponto (21)'!$L$38,Plan4!$A$1:$C$1,0)-1,8,1)</definedName>
    <definedName name="Tipo8" localSheetId="15">OFFSET(Plan4!$A$1,1,MATCH('Ponto (23)'!$L$38,Plan4!$A$1:$C$1,0)-1,8,1)</definedName>
    <definedName name="Tipo8" localSheetId="16">OFFSET(Plan4!$A$1,1,MATCH('Ponto (25)'!$L$38,Plan4!$A$1:$C$1,0)-1,8,1)</definedName>
    <definedName name="Tipo8" localSheetId="4">OFFSET(Plan4!$A$1,1,MATCH('Ponto (3)'!$L$38,Plan4!$A$1:$C$1,0)-1,8,1)</definedName>
    <definedName name="Tipo8" localSheetId="5">OFFSET(Plan4!$A$1,1,MATCH('Ponto (4)'!$L$38,Plan4!$A$1:$C$1,0)-1,8,1)</definedName>
    <definedName name="Tipo8" localSheetId="6">OFFSET(Plan4!$A$1,1,MATCH('Ponto (5)'!$L$38,Plan4!$A$1:$C$1,0)-1,8,1)</definedName>
    <definedName name="Tipo8" localSheetId="7">OFFSET(Plan4!$A$1,1,MATCH('Ponto (6)'!$L$38,Plan4!$A$1:$C$1,0)-1,8,1)</definedName>
    <definedName name="Tipo8" localSheetId="8">OFFSET(Plan4!$A$1,1,MATCH('Ponto (8)'!$L$38,Plan4!$A$1:$C$1,0)-1,8,1)</definedName>
    <definedName name="Tipo8">OFFSET(Plan4!$A$1,1,MATCH('Ponto (1)'!$L$38,Plan4!$A$1:$C$1,0)-1,8,1)</definedName>
    <definedName name="Tipo9" localSheetId="9">OFFSET(Plan4!$A$13,1,MATCH('Ponto (10)'!$C$64,Plan4!$A$13:$C$13,0)-1,3,1)</definedName>
    <definedName name="Tipo9" localSheetId="10">OFFSET(Plan4!$A$13,1,MATCH('Ponto (13)'!$C$64,Plan4!$A$13:$C$13,0)-1,3,1)</definedName>
    <definedName name="Tipo9" localSheetId="11">OFFSET(Plan4!$A$13,1,MATCH('Ponto (15)'!$C$64,Plan4!$A$13:$C$13,0)-1,3,1)</definedName>
    <definedName name="Tipo9" localSheetId="12">OFFSET(Plan4!$A$13,1,MATCH('Ponto (17)'!$C$64,Plan4!$A$13:$C$13,0)-1,3,1)</definedName>
    <definedName name="Tipo9" localSheetId="13">OFFSET(Plan4!$A$13,1,MATCH('Ponto (18)'!$C$64,Plan4!$A$13:$C$13,0)-1,3,1)</definedName>
    <definedName name="Tipo9" localSheetId="3">OFFSET(Plan4!$A$13,1,MATCH('Ponto (2)'!$C$64,Plan4!$A$13:$C$13,0)-1,3,1)</definedName>
    <definedName name="Tipo9" localSheetId="14">OFFSET(Plan4!$A$13,1,MATCH('Ponto (21)'!$C$64,Plan4!$A$13:$C$13,0)-1,3,1)</definedName>
    <definedName name="Tipo9" localSheetId="15">OFFSET(Plan4!$A$13,1,MATCH('Ponto (23)'!$C$64,Plan4!$A$13:$C$13,0)-1,3,1)</definedName>
    <definedName name="Tipo9" localSheetId="16">OFFSET(Plan4!$A$13,1,MATCH('Ponto (25)'!$C$64,Plan4!$A$13:$C$13,0)-1,3,1)</definedName>
    <definedName name="Tipo9" localSheetId="4">OFFSET(Plan4!$A$13,1,MATCH('Ponto (3)'!$C$64,Plan4!$A$13:$C$13,0)-1,3,1)</definedName>
    <definedName name="Tipo9" localSheetId="5">OFFSET(Plan4!$A$13,1,MATCH('Ponto (4)'!$C$64,Plan4!$A$13:$C$13,0)-1,3,1)</definedName>
    <definedName name="Tipo9" localSheetId="6">OFFSET(Plan4!$A$13,1,MATCH('Ponto (5)'!$C$64,Plan4!$A$13:$C$13,0)-1,3,1)</definedName>
    <definedName name="Tipo9" localSheetId="7">OFFSET(Plan4!$A$13,1,MATCH('Ponto (6)'!$C$64,Plan4!$A$13:$C$13,0)-1,3,1)</definedName>
    <definedName name="Tipo9" localSheetId="8">OFFSET(Plan4!$A$13,1,MATCH('Ponto (8)'!$C$64,Plan4!$A$13:$C$13,0)-1,3,1)</definedName>
    <definedName name="Tipo9">OFFSET(Plan4!$A$13,1,MATCH('Ponto (1)'!$C$64,Plan4!$A$13:$C$13,0)-1,3,1)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9" i="25" l="1"/>
  <c r="O138" i="25"/>
  <c r="L138" i="25"/>
  <c r="I138" i="25"/>
  <c r="F138" i="25"/>
  <c r="O137" i="25"/>
  <c r="L137" i="25"/>
  <c r="I137" i="25"/>
  <c r="F137" i="25"/>
  <c r="F132" i="25"/>
  <c r="C131" i="25"/>
  <c r="F133" i="25" s="1"/>
  <c r="L130" i="25"/>
  <c r="I130" i="25"/>
  <c r="F130" i="25"/>
  <c r="C130" i="25"/>
  <c r="L129" i="25"/>
  <c r="I129" i="25"/>
  <c r="F129" i="25"/>
  <c r="C129" i="25"/>
  <c r="L128" i="25"/>
  <c r="I128" i="25"/>
  <c r="F128" i="25"/>
  <c r="C128" i="25"/>
  <c r="L127" i="25"/>
  <c r="I127" i="25"/>
  <c r="F127" i="25"/>
  <c r="C127" i="25"/>
  <c r="L126" i="25"/>
  <c r="I126" i="25"/>
  <c r="F126" i="25"/>
  <c r="C126" i="25"/>
  <c r="L125" i="25"/>
  <c r="I125" i="25"/>
  <c r="F125" i="25"/>
  <c r="C125" i="25"/>
  <c r="L124" i="25"/>
  <c r="I124" i="25"/>
  <c r="F124" i="25"/>
  <c r="C124" i="25"/>
  <c r="L123" i="25"/>
  <c r="I123" i="25"/>
  <c r="F123" i="25"/>
  <c r="C123" i="25"/>
  <c r="L122" i="25"/>
  <c r="I122" i="25"/>
  <c r="F122" i="25"/>
  <c r="C122" i="25"/>
  <c r="L121" i="25"/>
  <c r="I121" i="25"/>
  <c r="F121" i="25"/>
  <c r="C121" i="25"/>
  <c r="F109" i="25"/>
  <c r="C108" i="25"/>
  <c r="F110" i="25" s="1"/>
  <c r="L107" i="25"/>
  <c r="I107" i="25"/>
  <c r="F107" i="25"/>
  <c r="C107" i="25"/>
  <c r="L106" i="25"/>
  <c r="I106" i="25"/>
  <c r="F106" i="25"/>
  <c r="C106" i="25"/>
  <c r="L105" i="25"/>
  <c r="I105" i="25"/>
  <c r="F105" i="25"/>
  <c r="C105" i="25"/>
  <c r="L104" i="25"/>
  <c r="I104" i="25"/>
  <c r="F104" i="25"/>
  <c r="C104" i="25"/>
  <c r="L103" i="25"/>
  <c r="I103" i="25"/>
  <c r="F103" i="25"/>
  <c r="C103" i="25"/>
  <c r="L102" i="25"/>
  <c r="I102" i="25"/>
  <c r="F102" i="25"/>
  <c r="C102" i="25"/>
  <c r="L101" i="25"/>
  <c r="I101" i="25"/>
  <c r="F101" i="25"/>
  <c r="C101" i="25"/>
  <c r="L100" i="25"/>
  <c r="I100" i="25"/>
  <c r="F100" i="25"/>
  <c r="C100" i="25"/>
  <c r="L99" i="25"/>
  <c r="I99" i="25"/>
  <c r="F99" i="25"/>
  <c r="C99" i="25"/>
  <c r="L98" i="25"/>
  <c r="I98" i="25"/>
  <c r="F98" i="25"/>
  <c r="C98" i="25"/>
  <c r="L97" i="25"/>
  <c r="I97" i="25"/>
  <c r="F97" i="25"/>
  <c r="C97" i="25"/>
  <c r="L96" i="25"/>
  <c r="I96" i="25"/>
  <c r="F96" i="25"/>
  <c r="C96" i="25"/>
  <c r="F86" i="25"/>
  <c r="F85" i="25"/>
  <c r="B146" i="25" s="1"/>
  <c r="C84" i="25"/>
  <c r="L83" i="25"/>
  <c r="I83" i="25"/>
  <c r="F83" i="25"/>
  <c r="C83" i="25"/>
  <c r="L82" i="25"/>
  <c r="I82" i="25"/>
  <c r="F82" i="25"/>
  <c r="C82" i="25"/>
  <c r="L81" i="25"/>
  <c r="I81" i="25"/>
  <c r="F81" i="25"/>
  <c r="C81" i="25"/>
  <c r="L80" i="25"/>
  <c r="I80" i="25"/>
  <c r="F80" i="25"/>
  <c r="C80" i="25"/>
  <c r="L79" i="25"/>
  <c r="I79" i="25"/>
  <c r="F79" i="25"/>
  <c r="C79" i="25"/>
  <c r="L78" i="25"/>
  <c r="I78" i="25"/>
  <c r="F78" i="25"/>
  <c r="C78" i="25"/>
  <c r="L77" i="25"/>
  <c r="I77" i="25"/>
  <c r="F77" i="25"/>
  <c r="C77" i="25"/>
  <c r="L76" i="25"/>
  <c r="I76" i="25"/>
  <c r="F76" i="25"/>
  <c r="C76" i="25"/>
  <c r="L75" i="25"/>
  <c r="I75" i="25"/>
  <c r="F75" i="25"/>
  <c r="C75" i="25"/>
  <c r="L74" i="25"/>
  <c r="I74" i="25"/>
  <c r="F74" i="25"/>
  <c r="C74" i="25"/>
  <c r="L73" i="25"/>
  <c r="I73" i="25"/>
  <c r="F73" i="25"/>
  <c r="C73" i="25"/>
  <c r="L72" i="25"/>
  <c r="I72" i="25"/>
  <c r="F72" i="25"/>
  <c r="C72" i="25"/>
  <c r="L71" i="25"/>
  <c r="I71" i="25"/>
  <c r="F71" i="25"/>
  <c r="C71" i="25"/>
  <c r="F60" i="25"/>
  <c r="F59" i="25"/>
  <c r="B145" i="25" s="1"/>
  <c r="C58" i="25"/>
  <c r="L57" i="25"/>
  <c r="I57" i="25"/>
  <c r="F57" i="25"/>
  <c r="C57" i="25"/>
  <c r="L56" i="25"/>
  <c r="I56" i="25"/>
  <c r="F56" i="25"/>
  <c r="C56" i="25"/>
  <c r="L55" i="25"/>
  <c r="I55" i="25"/>
  <c r="F55" i="25"/>
  <c r="C55" i="25"/>
  <c r="L54" i="25"/>
  <c r="I54" i="25"/>
  <c r="F54" i="25"/>
  <c r="C54" i="25"/>
  <c r="L53" i="25"/>
  <c r="I53" i="25"/>
  <c r="F53" i="25"/>
  <c r="C53" i="25"/>
  <c r="L52" i="25"/>
  <c r="I52" i="25"/>
  <c r="F52" i="25"/>
  <c r="C52" i="25"/>
  <c r="L51" i="25"/>
  <c r="I51" i="25"/>
  <c r="F51" i="25"/>
  <c r="C51" i="25"/>
  <c r="L50" i="25"/>
  <c r="I50" i="25"/>
  <c r="F50" i="25"/>
  <c r="C50" i="25"/>
  <c r="L49" i="25"/>
  <c r="I49" i="25"/>
  <c r="F49" i="25"/>
  <c r="C49" i="25"/>
  <c r="L48" i="25"/>
  <c r="I48" i="25"/>
  <c r="F48" i="25"/>
  <c r="C48" i="25"/>
  <c r="L47" i="25"/>
  <c r="I47" i="25"/>
  <c r="F47" i="25"/>
  <c r="C47" i="25"/>
  <c r="L46" i="25"/>
  <c r="I46" i="25"/>
  <c r="F46" i="25"/>
  <c r="C46" i="25"/>
  <c r="L45" i="25"/>
  <c r="I45" i="25"/>
  <c r="F45" i="25"/>
  <c r="C45" i="25"/>
  <c r="L31" i="25"/>
  <c r="I31" i="25"/>
  <c r="L30" i="25"/>
  <c r="I30" i="25"/>
  <c r="L29" i="25"/>
  <c r="I29" i="25"/>
  <c r="L28" i="25"/>
  <c r="I28" i="25"/>
  <c r="L27" i="25"/>
  <c r="I27" i="25"/>
  <c r="L26" i="25"/>
  <c r="I26" i="25"/>
  <c r="F26" i="25"/>
  <c r="C26" i="25"/>
  <c r="L25" i="25"/>
  <c r="I25" i="25"/>
  <c r="L24" i="25"/>
  <c r="I24" i="25"/>
  <c r="L23" i="25"/>
  <c r="I23" i="25"/>
  <c r="F23" i="25"/>
  <c r="C23" i="25"/>
  <c r="L22" i="25"/>
  <c r="I22" i="25"/>
  <c r="F22" i="25"/>
  <c r="C22" i="25"/>
  <c r="L21" i="25"/>
  <c r="I21" i="25"/>
  <c r="F21" i="25"/>
  <c r="F24" i="25" s="1"/>
  <c r="C21" i="25"/>
  <c r="C24" i="25" s="1"/>
  <c r="C27" i="25" s="1"/>
  <c r="L20" i="25"/>
  <c r="I20" i="25"/>
  <c r="F20" i="25"/>
  <c r="C20" i="25"/>
  <c r="L19" i="25"/>
  <c r="I19" i="25"/>
  <c r="F19" i="25"/>
  <c r="F25" i="25" s="1"/>
  <c r="F29" i="25" s="1"/>
  <c r="C19" i="25"/>
  <c r="C25" i="25" s="1"/>
  <c r="C29" i="25" s="1"/>
  <c r="C149" i="24"/>
  <c r="O138" i="24"/>
  <c r="L138" i="24"/>
  <c r="I138" i="24"/>
  <c r="F138" i="24"/>
  <c r="O137" i="24"/>
  <c r="L137" i="24"/>
  <c r="I137" i="24"/>
  <c r="F137" i="24"/>
  <c r="F132" i="24"/>
  <c r="C131" i="24"/>
  <c r="F133" i="24" s="1"/>
  <c r="B148" i="24" s="1"/>
  <c r="L130" i="24"/>
  <c r="I130" i="24"/>
  <c r="F130" i="24"/>
  <c r="C130" i="24"/>
  <c r="L129" i="24"/>
  <c r="I129" i="24"/>
  <c r="F129" i="24"/>
  <c r="C129" i="24"/>
  <c r="L128" i="24"/>
  <c r="I128" i="24"/>
  <c r="F128" i="24"/>
  <c r="C128" i="24"/>
  <c r="L127" i="24"/>
  <c r="I127" i="24"/>
  <c r="F127" i="24"/>
  <c r="C127" i="24"/>
  <c r="L126" i="24"/>
  <c r="I126" i="24"/>
  <c r="F126" i="24"/>
  <c r="C126" i="24"/>
  <c r="L125" i="24"/>
  <c r="I125" i="24"/>
  <c r="F125" i="24"/>
  <c r="C125" i="24"/>
  <c r="L124" i="24"/>
  <c r="I124" i="24"/>
  <c r="F124" i="24"/>
  <c r="C124" i="24"/>
  <c r="L123" i="24"/>
  <c r="I123" i="24"/>
  <c r="F123" i="24"/>
  <c r="C123" i="24"/>
  <c r="L122" i="24"/>
  <c r="I122" i="24"/>
  <c r="F122" i="24"/>
  <c r="C122" i="24"/>
  <c r="L121" i="24"/>
  <c r="I121" i="24"/>
  <c r="F121" i="24"/>
  <c r="C121" i="24"/>
  <c r="F109" i="24"/>
  <c r="C108" i="24"/>
  <c r="F110" i="24" s="1"/>
  <c r="L107" i="24"/>
  <c r="I107" i="24"/>
  <c r="F107" i="24"/>
  <c r="C107" i="24"/>
  <c r="L106" i="24"/>
  <c r="I106" i="24"/>
  <c r="F106" i="24"/>
  <c r="C106" i="24"/>
  <c r="L105" i="24"/>
  <c r="I105" i="24"/>
  <c r="F105" i="24"/>
  <c r="C105" i="24"/>
  <c r="L104" i="24"/>
  <c r="I104" i="24"/>
  <c r="F104" i="24"/>
  <c r="C104" i="24"/>
  <c r="L103" i="24"/>
  <c r="I103" i="24"/>
  <c r="F103" i="24"/>
  <c r="C103" i="24"/>
  <c r="L102" i="24"/>
  <c r="I102" i="24"/>
  <c r="F102" i="24"/>
  <c r="C102" i="24"/>
  <c r="L101" i="24"/>
  <c r="I101" i="24"/>
  <c r="F101" i="24"/>
  <c r="C101" i="24"/>
  <c r="L100" i="24"/>
  <c r="I100" i="24"/>
  <c r="F100" i="24"/>
  <c r="C100" i="24"/>
  <c r="L99" i="24"/>
  <c r="I99" i="24"/>
  <c r="F99" i="24"/>
  <c r="C99" i="24"/>
  <c r="L98" i="24"/>
  <c r="I98" i="24"/>
  <c r="F98" i="24"/>
  <c r="C98" i="24"/>
  <c r="L97" i="24"/>
  <c r="I97" i="24"/>
  <c r="F97" i="24"/>
  <c r="C97" i="24"/>
  <c r="L96" i="24"/>
  <c r="I96" i="24"/>
  <c r="F96" i="24"/>
  <c r="C96" i="24"/>
  <c r="F86" i="24"/>
  <c r="F85" i="24"/>
  <c r="B146" i="24" s="1"/>
  <c r="C84" i="24"/>
  <c r="L83" i="24"/>
  <c r="I83" i="24"/>
  <c r="F83" i="24"/>
  <c r="C83" i="24"/>
  <c r="L82" i="24"/>
  <c r="I82" i="24"/>
  <c r="F82" i="24"/>
  <c r="C82" i="24"/>
  <c r="L81" i="24"/>
  <c r="I81" i="24"/>
  <c r="F81" i="24"/>
  <c r="C81" i="24"/>
  <c r="L80" i="24"/>
  <c r="I80" i="24"/>
  <c r="F80" i="24"/>
  <c r="C80" i="24"/>
  <c r="L79" i="24"/>
  <c r="I79" i="24"/>
  <c r="F79" i="24"/>
  <c r="C79" i="24"/>
  <c r="L78" i="24"/>
  <c r="I78" i="24"/>
  <c r="F78" i="24"/>
  <c r="C78" i="24"/>
  <c r="L77" i="24"/>
  <c r="I77" i="24"/>
  <c r="F77" i="24"/>
  <c r="C77" i="24"/>
  <c r="L76" i="24"/>
  <c r="I76" i="24"/>
  <c r="F76" i="24"/>
  <c r="C76" i="24"/>
  <c r="L75" i="24"/>
  <c r="I75" i="24"/>
  <c r="F75" i="24"/>
  <c r="C75" i="24"/>
  <c r="L74" i="24"/>
  <c r="I74" i="24"/>
  <c r="F74" i="24"/>
  <c r="C74" i="24"/>
  <c r="L73" i="24"/>
  <c r="I73" i="24"/>
  <c r="F73" i="24"/>
  <c r="C73" i="24"/>
  <c r="L72" i="24"/>
  <c r="I72" i="24"/>
  <c r="F72" i="24"/>
  <c r="C72" i="24"/>
  <c r="L71" i="24"/>
  <c r="I71" i="24"/>
  <c r="F71" i="24"/>
  <c r="C71" i="24"/>
  <c r="F60" i="24"/>
  <c r="F59" i="24"/>
  <c r="B145" i="24" s="1"/>
  <c r="C58" i="24"/>
  <c r="L57" i="24"/>
  <c r="I57" i="24"/>
  <c r="F57" i="24"/>
  <c r="C57" i="24"/>
  <c r="L56" i="24"/>
  <c r="I56" i="24"/>
  <c r="F56" i="24"/>
  <c r="C56" i="24"/>
  <c r="L55" i="24"/>
  <c r="I55" i="24"/>
  <c r="F55" i="24"/>
  <c r="C55" i="24"/>
  <c r="L54" i="24"/>
  <c r="I54" i="24"/>
  <c r="F54" i="24"/>
  <c r="C54" i="24"/>
  <c r="L53" i="24"/>
  <c r="I53" i="24"/>
  <c r="F53" i="24"/>
  <c r="C53" i="24"/>
  <c r="L52" i="24"/>
  <c r="I52" i="24"/>
  <c r="F52" i="24"/>
  <c r="C52" i="24"/>
  <c r="L51" i="24"/>
  <c r="I51" i="24"/>
  <c r="F51" i="24"/>
  <c r="C51" i="24"/>
  <c r="L50" i="24"/>
  <c r="I50" i="24"/>
  <c r="F50" i="24"/>
  <c r="C50" i="24"/>
  <c r="L49" i="24"/>
  <c r="I49" i="24"/>
  <c r="F49" i="24"/>
  <c r="C49" i="24"/>
  <c r="L48" i="24"/>
  <c r="I48" i="24"/>
  <c r="F48" i="24"/>
  <c r="C48" i="24"/>
  <c r="L47" i="24"/>
  <c r="I47" i="24"/>
  <c r="F47" i="24"/>
  <c r="C47" i="24"/>
  <c r="L46" i="24"/>
  <c r="I46" i="24"/>
  <c r="F46" i="24"/>
  <c r="C46" i="24"/>
  <c r="L45" i="24"/>
  <c r="I45" i="24"/>
  <c r="F45" i="24"/>
  <c r="C45" i="24"/>
  <c r="L31" i="24"/>
  <c r="I31" i="24"/>
  <c r="L30" i="24"/>
  <c r="I30" i="24"/>
  <c r="L29" i="24"/>
  <c r="I29" i="24"/>
  <c r="L28" i="24"/>
  <c r="I28" i="24"/>
  <c r="L27" i="24"/>
  <c r="I27" i="24"/>
  <c r="L26" i="24"/>
  <c r="I26" i="24"/>
  <c r="F26" i="24"/>
  <c r="F28" i="24" s="1"/>
  <c r="C26" i="24"/>
  <c r="L25" i="24"/>
  <c r="I25" i="24"/>
  <c r="L24" i="24"/>
  <c r="I24" i="24"/>
  <c r="L23" i="24"/>
  <c r="I23" i="24"/>
  <c r="F23" i="24"/>
  <c r="C23" i="24"/>
  <c r="L22" i="24"/>
  <c r="I22" i="24"/>
  <c r="F22" i="24"/>
  <c r="C22" i="24"/>
  <c r="L21" i="24"/>
  <c r="I21" i="24"/>
  <c r="F21" i="24"/>
  <c r="C21" i="24"/>
  <c r="L20" i="24"/>
  <c r="I20" i="24"/>
  <c r="F20" i="24"/>
  <c r="F24" i="24" s="1"/>
  <c r="C20" i="24"/>
  <c r="C24" i="24" s="1"/>
  <c r="L19" i="24"/>
  <c r="I19" i="24"/>
  <c r="F19" i="24"/>
  <c r="F25" i="24" s="1"/>
  <c r="F29" i="24" s="1"/>
  <c r="C19" i="24"/>
  <c r="C25" i="24" s="1"/>
  <c r="C29" i="24" s="1"/>
  <c r="C149" i="23"/>
  <c r="O138" i="23"/>
  <c r="L138" i="23"/>
  <c r="I138" i="23"/>
  <c r="F138" i="23"/>
  <c r="O137" i="23"/>
  <c r="L137" i="23"/>
  <c r="I137" i="23"/>
  <c r="F137" i="23"/>
  <c r="F132" i="23"/>
  <c r="C131" i="23"/>
  <c r="F133" i="23" s="1"/>
  <c r="L130" i="23"/>
  <c r="I130" i="23"/>
  <c r="F130" i="23"/>
  <c r="C130" i="23"/>
  <c r="L129" i="23"/>
  <c r="I129" i="23"/>
  <c r="F129" i="23"/>
  <c r="C129" i="23"/>
  <c r="L128" i="23"/>
  <c r="I128" i="23"/>
  <c r="F128" i="23"/>
  <c r="C128" i="23"/>
  <c r="L127" i="23"/>
  <c r="I127" i="23"/>
  <c r="F127" i="23"/>
  <c r="C127" i="23"/>
  <c r="L126" i="23"/>
  <c r="I126" i="23"/>
  <c r="F126" i="23"/>
  <c r="C126" i="23"/>
  <c r="L125" i="23"/>
  <c r="I125" i="23"/>
  <c r="F125" i="23"/>
  <c r="C125" i="23"/>
  <c r="L124" i="23"/>
  <c r="I124" i="23"/>
  <c r="F124" i="23"/>
  <c r="C124" i="23"/>
  <c r="L123" i="23"/>
  <c r="I123" i="23"/>
  <c r="F123" i="23"/>
  <c r="C123" i="23"/>
  <c r="L122" i="23"/>
  <c r="I122" i="23"/>
  <c r="F122" i="23"/>
  <c r="C122" i="23"/>
  <c r="L121" i="23"/>
  <c r="I121" i="23"/>
  <c r="F121" i="23"/>
  <c r="C121" i="23"/>
  <c r="F109" i="23"/>
  <c r="C108" i="23"/>
  <c r="F110" i="23" s="1"/>
  <c r="L107" i="23"/>
  <c r="I107" i="23"/>
  <c r="F107" i="23"/>
  <c r="C107" i="23"/>
  <c r="L106" i="23"/>
  <c r="I106" i="23"/>
  <c r="F106" i="23"/>
  <c r="C106" i="23"/>
  <c r="L105" i="23"/>
  <c r="I105" i="23"/>
  <c r="F105" i="23"/>
  <c r="C105" i="23"/>
  <c r="L104" i="23"/>
  <c r="I104" i="23"/>
  <c r="F104" i="23"/>
  <c r="C104" i="23"/>
  <c r="L103" i="23"/>
  <c r="I103" i="23"/>
  <c r="F103" i="23"/>
  <c r="C103" i="23"/>
  <c r="L102" i="23"/>
  <c r="I102" i="23"/>
  <c r="F102" i="23"/>
  <c r="C102" i="23"/>
  <c r="L101" i="23"/>
  <c r="I101" i="23"/>
  <c r="F101" i="23"/>
  <c r="C101" i="23"/>
  <c r="L100" i="23"/>
  <c r="I100" i="23"/>
  <c r="F100" i="23"/>
  <c r="C100" i="23"/>
  <c r="L99" i="23"/>
  <c r="I99" i="23"/>
  <c r="F99" i="23"/>
  <c r="C99" i="23"/>
  <c r="L98" i="23"/>
  <c r="I98" i="23"/>
  <c r="F98" i="23"/>
  <c r="C98" i="23"/>
  <c r="L97" i="23"/>
  <c r="I97" i="23"/>
  <c r="F97" i="23"/>
  <c r="C97" i="23"/>
  <c r="L96" i="23"/>
  <c r="I96" i="23"/>
  <c r="F96" i="23"/>
  <c r="C96" i="23"/>
  <c r="F85" i="23"/>
  <c r="B146" i="23" s="1"/>
  <c r="C84" i="23"/>
  <c r="F86" i="23" s="1"/>
  <c r="L83" i="23"/>
  <c r="I83" i="23"/>
  <c r="F83" i="23"/>
  <c r="C83" i="23"/>
  <c r="L82" i="23"/>
  <c r="I82" i="23"/>
  <c r="F82" i="23"/>
  <c r="C82" i="23"/>
  <c r="L81" i="23"/>
  <c r="I81" i="23"/>
  <c r="F81" i="23"/>
  <c r="C81" i="23"/>
  <c r="L80" i="23"/>
  <c r="I80" i="23"/>
  <c r="F80" i="23"/>
  <c r="C80" i="23"/>
  <c r="L79" i="23"/>
  <c r="I79" i="23"/>
  <c r="F79" i="23"/>
  <c r="C79" i="23"/>
  <c r="L78" i="23"/>
  <c r="I78" i="23"/>
  <c r="F78" i="23"/>
  <c r="C78" i="23"/>
  <c r="L77" i="23"/>
  <c r="I77" i="23"/>
  <c r="F77" i="23"/>
  <c r="C77" i="23"/>
  <c r="L76" i="23"/>
  <c r="I76" i="23"/>
  <c r="F76" i="23"/>
  <c r="C76" i="23"/>
  <c r="L75" i="23"/>
  <c r="I75" i="23"/>
  <c r="F75" i="23"/>
  <c r="C75" i="23"/>
  <c r="L74" i="23"/>
  <c r="I74" i="23"/>
  <c r="F74" i="23"/>
  <c r="C74" i="23"/>
  <c r="L73" i="23"/>
  <c r="I73" i="23"/>
  <c r="F73" i="23"/>
  <c r="C73" i="23"/>
  <c r="L72" i="23"/>
  <c r="I72" i="23"/>
  <c r="F72" i="23"/>
  <c r="C72" i="23"/>
  <c r="L71" i="23"/>
  <c r="I71" i="23"/>
  <c r="F71" i="23"/>
  <c r="C71" i="23"/>
  <c r="F60" i="23"/>
  <c r="F59" i="23"/>
  <c r="B145" i="23" s="1"/>
  <c r="C58" i="23"/>
  <c r="L57" i="23"/>
  <c r="I57" i="23"/>
  <c r="F57" i="23"/>
  <c r="C57" i="23"/>
  <c r="L56" i="23"/>
  <c r="I56" i="23"/>
  <c r="F56" i="23"/>
  <c r="C56" i="23"/>
  <c r="L55" i="23"/>
  <c r="I55" i="23"/>
  <c r="F55" i="23"/>
  <c r="C55" i="23"/>
  <c r="L54" i="23"/>
  <c r="I54" i="23"/>
  <c r="F54" i="23"/>
  <c r="C54" i="23"/>
  <c r="L53" i="23"/>
  <c r="I53" i="23"/>
  <c r="F53" i="23"/>
  <c r="C53" i="23"/>
  <c r="L52" i="23"/>
  <c r="I52" i="23"/>
  <c r="F52" i="23"/>
  <c r="C52" i="23"/>
  <c r="L51" i="23"/>
  <c r="I51" i="23"/>
  <c r="F51" i="23"/>
  <c r="C51" i="23"/>
  <c r="L50" i="23"/>
  <c r="I50" i="23"/>
  <c r="F50" i="23"/>
  <c r="C50" i="23"/>
  <c r="L49" i="23"/>
  <c r="I49" i="23"/>
  <c r="F49" i="23"/>
  <c r="C49" i="23"/>
  <c r="L48" i="23"/>
  <c r="I48" i="23"/>
  <c r="F48" i="23"/>
  <c r="C48" i="23"/>
  <c r="L47" i="23"/>
  <c r="I47" i="23"/>
  <c r="F47" i="23"/>
  <c r="C47" i="23"/>
  <c r="L46" i="23"/>
  <c r="I46" i="23"/>
  <c r="F46" i="23"/>
  <c r="C46" i="23"/>
  <c r="L45" i="23"/>
  <c r="I45" i="23"/>
  <c r="F45" i="23"/>
  <c r="C45" i="23"/>
  <c r="L31" i="23"/>
  <c r="L30" i="23"/>
  <c r="L29" i="23"/>
  <c r="L28" i="23"/>
  <c r="L27" i="23"/>
  <c r="L26" i="23"/>
  <c r="I26" i="23"/>
  <c r="I27" i="23" s="1"/>
  <c r="F26" i="23"/>
  <c r="C26" i="23"/>
  <c r="L25" i="23"/>
  <c r="L24" i="23"/>
  <c r="L23" i="23"/>
  <c r="I23" i="23"/>
  <c r="F23" i="23"/>
  <c r="C23" i="23"/>
  <c r="L22" i="23"/>
  <c r="I22" i="23"/>
  <c r="F22" i="23"/>
  <c r="C22" i="23"/>
  <c r="L21" i="23"/>
  <c r="I21" i="23"/>
  <c r="F21" i="23"/>
  <c r="C21" i="23"/>
  <c r="C24" i="23" s="1"/>
  <c r="C27" i="23" s="1"/>
  <c r="L20" i="23"/>
  <c r="I20" i="23"/>
  <c r="I24" i="23" s="1"/>
  <c r="F20" i="23"/>
  <c r="F24" i="23" s="1"/>
  <c r="C20" i="23"/>
  <c r="L19" i="23"/>
  <c r="I19" i="23"/>
  <c r="I25" i="23" s="1"/>
  <c r="I29" i="23" s="1"/>
  <c r="F19" i="23"/>
  <c r="F25" i="23" s="1"/>
  <c r="F29" i="23" s="1"/>
  <c r="C19" i="23"/>
  <c r="C25" i="23" s="1"/>
  <c r="C29" i="23" s="1"/>
  <c r="C149" i="22"/>
  <c r="O138" i="22"/>
  <c r="L138" i="22"/>
  <c r="I138" i="22"/>
  <c r="F138" i="22"/>
  <c r="O137" i="22"/>
  <c r="L137" i="22"/>
  <c r="I137" i="22"/>
  <c r="F137" i="22"/>
  <c r="F132" i="22"/>
  <c r="C131" i="22"/>
  <c r="F133" i="22" s="1"/>
  <c r="L130" i="22"/>
  <c r="I130" i="22"/>
  <c r="F130" i="22"/>
  <c r="C130" i="22"/>
  <c r="L129" i="22"/>
  <c r="I129" i="22"/>
  <c r="F129" i="22"/>
  <c r="C129" i="22"/>
  <c r="L128" i="22"/>
  <c r="I128" i="22"/>
  <c r="F128" i="22"/>
  <c r="C128" i="22"/>
  <c r="L127" i="22"/>
  <c r="I127" i="22"/>
  <c r="F127" i="22"/>
  <c r="C127" i="22"/>
  <c r="L126" i="22"/>
  <c r="I126" i="22"/>
  <c r="F126" i="22"/>
  <c r="C126" i="22"/>
  <c r="L125" i="22"/>
  <c r="I125" i="22"/>
  <c r="F125" i="22"/>
  <c r="C125" i="22"/>
  <c r="L124" i="22"/>
  <c r="I124" i="22"/>
  <c r="F124" i="22"/>
  <c r="C124" i="22"/>
  <c r="L123" i="22"/>
  <c r="I123" i="22"/>
  <c r="F123" i="22"/>
  <c r="C123" i="22"/>
  <c r="L122" i="22"/>
  <c r="I122" i="22"/>
  <c r="F122" i="22"/>
  <c r="C122" i="22"/>
  <c r="L121" i="22"/>
  <c r="I121" i="22"/>
  <c r="F121" i="22"/>
  <c r="C121" i="22"/>
  <c r="F110" i="22"/>
  <c r="F109" i="22"/>
  <c r="B147" i="22" s="1"/>
  <c r="C108" i="22"/>
  <c r="L107" i="22"/>
  <c r="I107" i="22"/>
  <c r="F107" i="22"/>
  <c r="C107" i="22"/>
  <c r="L106" i="22"/>
  <c r="I106" i="22"/>
  <c r="F106" i="22"/>
  <c r="C106" i="22"/>
  <c r="L105" i="22"/>
  <c r="I105" i="22"/>
  <c r="F105" i="22"/>
  <c r="C105" i="22"/>
  <c r="L104" i="22"/>
  <c r="I104" i="22"/>
  <c r="F104" i="22"/>
  <c r="C104" i="22"/>
  <c r="L103" i="22"/>
  <c r="I103" i="22"/>
  <c r="F103" i="22"/>
  <c r="C103" i="22"/>
  <c r="L102" i="22"/>
  <c r="I102" i="22"/>
  <c r="F102" i="22"/>
  <c r="C102" i="22"/>
  <c r="L101" i="22"/>
  <c r="I101" i="22"/>
  <c r="F101" i="22"/>
  <c r="C101" i="22"/>
  <c r="L100" i="22"/>
  <c r="I100" i="22"/>
  <c r="F100" i="22"/>
  <c r="C100" i="22"/>
  <c r="L99" i="22"/>
  <c r="I99" i="22"/>
  <c r="F99" i="22"/>
  <c r="C99" i="22"/>
  <c r="L98" i="22"/>
  <c r="I98" i="22"/>
  <c r="F98" i="22"/>
  <c r="C98" i="22"/>
  <c r="L97" i="22"/>
  <c r="I97" i="22"/>
  <c r="F97" i="22"/>
  <c r="C97" i="22"/>
  <c r="L96" i="22"/>
  <c r="I96" i="22"/>
  <c r="F96" i="22"/>
  <c r="C96" i="22"/>
  <c r="F85" i="22"/>
  <c r="C84" i="22"/>
  <c r="F86" i="22" s="1"/>
  <c r="L83" i="22"/>
  <c r="I83" i="22"/>
  <c r="F83" i="22"/>
  <c r="C83" i="22"/>
  <c r="L82" i="22"/>
  <c r="I82" i="22"/>
  <c r="F82" i="22"/>
  <c r="C82" i="22"/>
  <c r="L81" i="22"/>
  <c r="I81" i="22"/>
  <c r="F81" i="22"/>
  <c r="C81" i="22"/>
  <c r="L80" i="22"/>
  <c r="I80" i="22"/>
  <c r="F80" i="22"/>
  <c r="C80" i="22"/>
  <c r="L79" i="22"/>
  <c r="I79" i="22"/>
  <c r="F79" i="22"/>
  <c r="C79" i="22"/>
  <c r="L78" i="22"/>
  <c r="I78" i="22"/>
  <c r="F78" i="22"/>
  <c r="C78" i="22"/>
  <c r="L77" i="22"/>
  <c r="I77" i="22"/>
  <c r="F77" i="22"/>
  <c r="C77" i="22"/>
  <c r="L76" i="22"/>
  <c r="I76" i="22"/>
  <c r="F76" i="22"/>
  <c r="C76" i="22"/>
  <c r="L75" i="22"/>
  <c r="I75" i="22"/>
  <c r="F75" i="22"/>
  <c r="C75" i="22"/>
  <c r="L74" i="22"/>
  <c r="I74" i="22"/>
  <c r="F74" i="22"/>
  <c r="C74" i="22"/>
  <c r="L73" i="22"/>
  <c r="I73" i="22"/>
  <c r="F73" i="22"/>
  <c r="C73" i="22"/>
  <c r="L72" i="22"/>
  <c r="I72" i="22"/>
  <c r="F72" i="22"/>
  <c r="C72" i="22"/>
  <c r="L71" i="22"/>
  <c r="I71" i="22"/>
  <c r="F71" i="22"/>
  <c r="C71" i="22"/>
  <c r="F60" i="22"/>
  <c r="F59" i="22"/>
  <c r="B145" i="22" s="1"/>
  <c r="C58" i="22"/>
  <c r="L57" i="22"/>
  <c r="I57" i="22"/>
  <c r="F57" i="22"/>
  <c r="C57" i="22"/>
  <c r="L56" i="22"/>
  <c r="I56" i="22"/>
  <c r="F56" i="22"/>
  <c r="C56" i="22"/>
  <c r="L55" i="22"/>
  <c r="I55" i="22"/>
  <c r="F55" i="22"/>
  <c r="C55" i="22"/>
  <c r="L54" i="22"/>
  <c r="I54" i="22"/>
  <c r="F54" i="22"/>
  <c r="C54" i="22"/>
  <c r="L53" i="22"/>
  <c r="I53" i="22"/>
  <c r="F53" i="22"/>
  <c r="C53" i="22"/>
  <c r="L52" i="22"/>
  <c r="I52" i="22"/>
  <c r="F52" i="22"/>
  <c r="C52" i="22"/>
  <c r="L51" i="22"/>
  <c r="I51" i="22"/>
  <c r="F51" i="22"/>
  <c r="C51" i="22"/>
  <c r="L50" i="22"/>
  <c r="I50" i="22"/>
  <c r="F50" i="22"/>
  <c r="C50" i="22"/>
  <c r="L49" i="22"/>
  <c r="I49" i="22"/>
  <c r="F49" i="22"/>
  <c r="C49" i="22"/>
  <c r="L48" i="22"/>
  <c r="I48" i="22"/>
  <c r="F48" i="22"/>
  <c r="C48" i="22"/>
  <c r="L47" i="22"/>
  <c r="I47" i="22"/>
  <c r="F47" i="22"/>
  <c r="C47" i="22"/>
  <c r="L46" i="22"/>
  <c r="I46" i="22"/>
  <c r="F46" i="22"/>
  <c r="C46" i="22"/>
  <c r="L45" i="22"/>
  <c r="I45" i="22"/>
  <c r="F45" i="22"/>
  <c r="C45" i="22"/>
  <c r="L31" i="22"/>
  <c r="I31" i="22"/>
  <c r="L30" i="22"/>
  <c r="I30" i="22"/>
  <c r="L29" i="22"/>
  <c r="I29" i="22"/>
  <c r="L28" i="22"/>
  <c r="I28" i="22"/>
  <c r="L27" i="22"/>
  <c r="I27" i="22"/>
  <c r="L26" i="22"/>
  <c r="I26" i="22"/>
  <c r="F26" i="22"/>
  <c r="F28" i="22" s="1"/>
  <c r="C26" i="22"/>
  <c r="L25" i="22"/>
  <c r="I25" i="22"/>
  <c r="L24" i="22"/>
  <c r="I24" i="22"/>
  <c r="L23" i="22"/>
  <c r="I23" i="22"/>
  <c r="F23" i="22"/>
  <c r="C23" i="22"/>
  <c r="L22" i="22"/>
  <c r="I22" i="22"/>
  <c r="F22" i="22"/>
  <c r="C22" i="22"/>
  <c r="L21" i="22"/>
  <c r="I21" i="22"/>
  <c r="F21" i="22"/>
  <c r="C21" i="22"/>
  <c r="C24" i="22" s="1"/>
  <c r="C27" i="22" s="1"/>
  <c r="L20" i="22"/>
  <c r="I20" i="22"/>
  <c r="F20" i="22"/>
  <c r="F24" i="22" s="1"/>
  <c r="C20" i="22"/>
  <c r="L19" i="22"/>
  <c r="I19" i="22"/>
  <c r="F19" i="22"/>
  <c r="F25" i="22" s="1"/>
  <c r="F29" i="22" s="1"/>
  <c r="C19" i="22"/>
  <c r="C25" i="22" s="1"/>
  <c r="C29" i="22" s="1"/>
  <c r="C149" i="21"/>
  <c r="O138" i="21"/>
  <c r="L138" i="21"/>
  <c r="I138" i="21"/>
  <c r="F138" i="21"/>
  <c r="O137" i="21"/>
  <c r="L137" i="21"/>
  <c r="I137" i="21"/>
  <c r="F137" i="21"/>
  <c r="F133" i="21"/>
  <c r="F132" i="21"/>
  <c r="B148" i="21" s="1"/>
  <c r="C131" i="21"/>
  <c r="L130" i="21"/>
  <c r="I130" i="21"/>
  <c r="F130" i="21"/>
  <c r="C130" i="21"/>
  <c r="L129" i="21"/>
  <c r="I129" i="21"/>
  <c r="F129" i="21"/>
  <c r="C129" i="21"/>
  <c r="L128" i="21"/>
  <c r="I128" i="21"/>
  <c r="F128" i="21"/>
  <c r="C128" i="21"/>
  <c r="L127" i="21"/>
  <c r="I127" i="21"/>
  <c r="F127" i="21"/>
  <c r="C127" i="21"/>
  <c r="L126" i="21"/>
  <c r="I126" i="21"/>
  <c r="F126" i="21"/>
  <c r="C126" i="21"/>
  <c r="L125" i="21"/>
  <c r="I125" i="21"/>
  <c r="F125" i="21"/>
  <c r="C125" i="21"/>
  <c r="L124" i="21"/>
  <c r="I124" i="21"/>
  <c r="F124" i="21"/>
  <c r="C124" i="21"/>
  <c r="L123" i="21"/>
  <c r="I123" i="21"/>
  <c r="F123" i="21"/>
  <c r="C123" i="21"/>
  <c r="L122" i="21"/>
  <c r="I122" i="21"/>
  <c r="F122" i="21"/>
  <c r="C122" i="21"/>
  <c r="L121" i="21"/>
  <c r="I121" i="21"/>
  <c r="F121" i="21"/>
  <c r="C121" i="21"/>
  <c r="F110" i="21"/>
  <c r="F109" i="21"/>
  <c r="B147" i="21" s="1"/>
  <c r="C108" i="21"/>
  <c r="L107" i="21"/>
  <c r="I107" i="21"/>
  <c r="F107" i="21"/>
  <c r="C107" i="21"/>
  <c r="L106" i="21"/>
  <c r="I106" i="21"/>
  <c r="F106" i="21"/>
  <c r="C106" i="21"/>
  <c r="L105" i="21"/>
  <c r="I105" i="21"/>
  <c r="F105" i="21"/>
  <c r="C105" i="21"/>
  <c r="L104" i="21"/>
  <c r="I104" i="21"/>
  <c r="F104" i="21"/>
  <c r="C104" i="21"/>
  <c r="L103" i="21"/>
  <c r="I103" i="21"/>
  <c r="F103" i="21"/>
  <c r="C103" i="21"/>
  <c r="L102" i="21"/>
  <c r="I102" i="21"/>
  <c r="F102" i="21"/>
  <c r="C102" i="21"/>
  <c r="L101" i="21"/>
  <c r="I101" i="21"/>
  <c r="F101" i="21"/>
  <c r="C101" i="21"/>
  <c r="L100" i="21"/>
  <c r="I100" i="21"/>
  <c r="F100" i="21"/>
  <c r="C100" i="21"/>
  <c r="L99" i="21"/>
  <c r="I99" i="21"/>
  <c r="F99" i="21"/>
  <c r="C99" i="21"/>
  <c r="L98" i="21"/>
  <c r="I98" i="21"/>
  <c r="F98" i="21"/>
  <c r="C98" i="21"/>
  <c r="L97" i="21"/>
  <c r="I97" i="21"/>
  <c r="F97" i="21"/>
  <c r="C97" i="21"/>
  <c r="L96" i="21"/>
  <c r="I96" i="21"/>
  <c r="F96" i="21"/>
  <c r="C96" i="21"/>
  <c r="F85" i="21"/>
  <c r="B146" i="21" s="1"/>
  <c r="C84" i="21"/>
  <c r="F86" i="21" s="1"/>
  <c r="L83" i="21"/>
  <c r="I83" i="21"/>
  <c r="F83" i="21"/>
  <c r="C83" i="21"/>
  <c r="L82" i="21"/>
  <c r="I82" i="21"/>
  <c r="F82" i="21"/>
  <c r="C82" i="21"/>
  <c r="L81" i="21"/>
  <c r="I81" i="21"/>
  <c r="F81" i="21"/>
  <c r="C81" i="21"/>
  <c r="L80" i="21"/>
  <c r="I80" i="21"/>
  <c r="F80" i="21"/>
  <c r="C80" i="21"/>
  <c r="L79" i="21"/>
  <c r="I79" i="21"/>
  <c r="F79" i="21"/>
  <c r="C79" i="21"/>
  <c r="L78" i="21"/>
  <c r="I78" i="21"/>
  <c r="F78" i="21"/>
  <c r="C78" i="21"/>
  <c r="L77" i="21"/>
  <c r="I77" i="21"/>
  <c r="F77" i="21"/>
  <c r="C77" i="21"/>
  <c r="L76" i="21"/>
  <c r="I76" i="21"/>
  <c r="F76" i="21"/>
  <c r="C76" i="21"/>
  <c r="L75" i="21"/>
  <c r="I75" i="21"/>
  <c r="F75" i="21"/>
  <c r="C75" i="21"/>
  <c r="L74" i="21"/>
  <c r="I74" i="21"/>
  <c r="F74" i="21"/>
  <c r="C74" i="21"/>
  <c r="L73" i="21"/>
  <c r="I73" i="21"/>
  <c r="F73" i="21"/>
  <c r="C73" i="21"/>
  <c r="L72" i="21"/>
  <c r="I72" i="21"/>
  <c r="F72" i="21"/>
  <c r="C72" i="21"/>
  <c r="L71" i="21"/>
  <c r="I71" i="21"/>
  <c r="F71" i="21"/>
  <c r="C71" i="21"/>
  <c r="F60" i="21"/>
  <c r="F59" i="21"/>
  <c r="B145" i="21" s="1"/>
  <c r="C58" i="21"/>
  <c r="L57" i="21"/>
  <c r="I57" i="21"/>
  <c r="F57" i="21"/>
  <c r="C57" i="21"/>
  <c r="L56" i="21"/>
  <c r="I56" i="21"/>
  <c r="F56" i="21"/>
  <c r="C56" i="21"/>
  <c r="L55" i="21"/>
  <c r="I55" i="21"/>
  <c r="F55" i="21"/>
  <c r="C55" i="21"/>
  <c r="L54" i="21"/>
  <c r="I54" i="21"/>
  <c r="F54" i="21"/>
  <c r="C54" i="21"/>
  <c r="L53" i="21"/>
  <c r="I53" i="21"/>
  <c r="F53" i="21"/>
  <c r="C53" i="21"/>
  <c r="L52" i="21"/>
  <c r="I52" i="21"/>
  <c r="F52" i="21"/>
  <c r="C52" i="21"/>
  <c r="L51" i="21"/>
  <c r="I51" i="21"/>
  <c r="F51" i="21"/>
  <c r="C51" i="21"/>
  <c r="L50" i="21"/>
  <c r="I50" i="21"/>
  <c r="F50" i="21"/>
  <c r="C50" i="21"/>
  <c r="L49" i="21"/>
  <c r="I49" i="21"/>
  <c r="F49" i="21"/>
  <c r="C49" i="21"/>
  <c r="L48" i="21"/>
  <c r="I48" i="21"/>
  <c r="F48" i="21"/>
  <c r="C48" i="21"/>
  <c r="L47" i="21"/>
  <c r="I47" i="21"/>
  <c r="F47" i="21"/>
  <c r="C47" i="21"/>
  <c r="L46" i="21"/>
  <c r="I46" i="21"/>
  <c r="F46" i="21"/>
  <c r="C46" i="21"/>
  <c r="L45" i="21"/>
  <c r="I45" i="21"/>
  <c r="F45" i="21"/>
  <c r="C45" i="21"/>
  <c r="L31" i="21"/>
  <c r="L30" i="21"/>
  <c r="L29" i="21"/>
  <c r="L28" i="21"/>
  <c r="L27" i="21"/>
  <c r="L26" i="21"/>
  <c r="I26" i="21"/>
  <c r="F26" i="21"/>
  <c r="C26" i="21"/>
  <c r="L25" i="21"/>
  <c r="L24" i="21"/>
  <c r="L23" i="21"/>
  <c r="I23" i="21"/>
  <c r="F23" i="21"/>
  <c r="C23" i="21"/>
  <c r="L22" i="21"/>
  <c r="I22" i="21"/>
  <c r="F22" i="21"/>
  <c r="C22" i="21"/>
  <c r="L21" i="21"/>
  <c r="I21" i="21"/>
  <c r="F21" i="21"/>
  <c r="C21" i="21"/>
  <c r="C24" i="21" s="1"/>
  <c r="L20" i="21"/>
  <c r="I20" i="21"/>
  <c r="F20" i="21"/>
  <c r="F24" i="21" s="1"/>
  <c r="C20" i="21"/>
  <c r="L19" i="21"/>
  <c r="I19" i="21"/>
  <c r="I25" i="21" s="1"/>
  <c r="I29" i="21" s="1"/>
  <c r="F19" i="21"/>
  <c r="F25" i="21" s="1"/>
  <c r="F29" i="21" s="1"/>
  <c r="C19" i="21"/>
  <c r="C25" i="21" s="1"/>
  <c r="C29" i="21" s="1"/>
  <c r="C149" i="20"/>
  <c r="O138" i="20"/>
  <c r="L138" i="20"/>
  <c r="I138" i="20"/>
  <c r="F138" i="20"/>
  <c r="O137" i="20"/>
  <c r="L137" i="20"/>
  <c r="I137" i="20"/>
  <c r="F137" i="20"/>
  <c r="F132" i="20"/>
  <c r="C131" i="20"/>
  <c r="F133" i="20" s="1"/>
  <c r="B148" i="20" s="1"/>
  <c r="L130" i="20"/>
  <c r="I130" i="20"/>
  <c r="F130" i="20"/>
  <c r="C130" i="20"/>
  <c r="L129" i="20"/>
  <c r="I129" i="20"/>
  <c r="F129" i="20"/>
  <c r="C129" i="20"/>
  <c r="L128" i="20"/>
  <c r="I128" i="20"/>
  <c r="F128" i="20"/>
  <c r="C128" i="20"/>
  <c r="L127" i="20"/>
  <c r="I127" i="20"/>
  <c r="F127" i="20"/>
  <c r="C127" i="20"/>
  <c r="L126" i="20"/>
  <c r="I126" i="20"/>
  <c r="F126" i="20"/>
  <c r="C126" i="20"/>
  <c r="L125" i="20"/>
  <c r="I125" i="20"/>
  <c r="F125" i="20"/>
  <c r="C125" i="20"/>
  <c r="L124" i="20"/>
  <c r="I124" i="20"/>
  <c r="F124" i="20"/>
  <c r="C124" i="20"/>
  <c r="L123" i="20"/>
  <c r="I123" i="20"/>
  <c r="F123" i="20"/>
  <c r="C123" i="20"/>
  <c r="L122" i="20"/>
  <c r="I122" i="20"/>
  <c r="F122" i="20"/>
  <c r="C122" i="20"/>
  <c r="L121" i="20"/>
  <c r="I121" i="20"/>
  <c r="F121" i="20"/>
  <c r="C121" i="20"/>
  <c r="F109" i="20"/>
  <c r="C108" i="20"/>
  <c r="F110" i="20" s="1"/>
  <c r="B147" i="20" s="1"/>
  <c r="L107" i="20"/>
  <c r="I107" i="20"/>
  <c r="F107" i="20"/>
  <c r="C107" i="20"/>
  <c r="L106" i="20"/>
  <c r="I106" i="20"/>
  <c r="F106" i="20"/>
  <c r="C106" i="20"/>
  <c r="L105" i="20"/>
  <c r="I105" i="20"/>
  <c r="F105" i="20"/>
  <c r="C105" i="20"/>
  <c r="L104" i="20"/>
  <c r="I104" i="20"/>
  <c r="F104" i="20"/>
  <c r="C104" i="20"/>
  <c r="L103" i="20"/>
  <c r="I103" i="20"/>
  <c r="F103" i="20"/>
  <c r="C103" i="20"/>
  <c r="L102" i="20"/>
  <c r="I102" i="20"/>
  <c r="F102" i="20"/>
  <c r="C102" i="20"/>
  <c r="L101" i="20"/>
  <c r="I101" i="20"/>
  <c r="F101" i="20"/>
  <c r="C101" i="20"/>
  <c r="L100" i="20"/>
  <c r="I100" i="20"/>
  <c r="F100" i="20"/>
  <c r="C100" i="20"/>
  <c r="L99" i="20"/>
  <c r="I99" i="20"/>
  <c r="F99" i="20"/>
  <c r="C99" i="20"/>
  <c r="L98" i="20"/>
  <c r="I98" i="20"/>
  <c r="F98" i="20"/>
  <c r="C98" i="20"/>
  <c r="L97" i="20"/>
  <c r="I97" i="20"/>
  <c r="F97" i="20"/>
  <c r="C97" i="20"/>
  <c r="L96" i="20"/>
  <c r="I96" i="20"/>
  <c r="F96" i="20"/>
  <c r="C96" i="20"/>
  <c r="F86" i="20"/>
  <c r="F85" i="20"/>
  <c r="B146" i="20" s="1"/>
  <c r="C84" i="20"/>
  <c r="L83" i="20"/>
  <c r="I83" i="20"/>
  <c r="F83" i="20"/>
  <c r="C83" i="20"/>
  <c r="L82" i="20"/>
  <c r="I82" i="20"/>
  <c r="F82" i="20"/>
  <c r="C82" i="20"/>
  <c r="L81" i="20"/>
  <c r="I81" i="20"/>
  <c r="F81" i="20"/>
  <c r="C81" i="20"/>
  <c r="L80" i="20"/>
  <c r="I80" i="20"/>
  <c r="F80" i="20"/>
  <c r="C80" i="20"/>
  <c r="L79" i="20"/>
  <c r="I79" i="20"/>
  <c r="F79" i="20"/>
  <c r="C79" i="20"/>
  <c r="L78" i="20"/>
  <c r="I78" i="20"/>
  <c r="F78" i="20"/>
  <c r="C78" i="20"/>
  <c r="L77" i="20"/>
  <c r="I77" i="20"/>
  <c r="F77" i="20"/>
  <c r="C77" i="20"/>
  <c r="L76" i="20"/>
  <c r="I76" i="20"/>
  <c r="F76" i="20"/>
  <c r="C76" i="20"/>
  <c r="L75" i="20"/>
  <c r="I75" i="20"/>
  <c r="F75" i="20"/>
  <c r="C75" i="20"/>
  <c r="L74" i="20"/>
  <c r="I74" i="20"/>
  <c r="F74" i="20"/>
  <c r="C74" i="20"/>
  <c r="L73" i="20"/>
  <c r="I73" i="20"/>
  <c r="F73" i="20"/>
  <c r="C73" i="20"/>
  <c r="L72" i="20"/>
  <c r="I72" i="20"/>
  <c r="F72" i="20"/>
  <c r="C72" i="20"/>
  <c r="L71" i="20"/>
  <c r="I71" i="20"/>
  <c r="F71" i="20"/>
  <c r="C71" i="20"/>
  <c r="F60" i="20"/>
  <c r="F59" i="20"/>
  <c r="B145" i="20" s="1"/>
  <c r="C58" i="20"/>
  <c r="L57" i="20"/>
  <c r="I57" i="20"/>
  <c r="F57" i="20"/>
  <c r="C57" i="20"/>
  <c r="L56" i="20"/>
  <c r="I56" i="20"/>
  <c r="F56" i="20"/>
  <c r="C56" i="20"/>
  <c r="L55" i="20"/>
  <c r="I55" i="20"/>
  <c r="F55" i="20"/>
  <c r="C55" i="20"/>
  <c r="L54" i="20"/>
  <c r="I54" i="20"/>
  <c r="F54" i="20"/>
  <c r="C54" i="20"/>
  <c r="L53" i="20"/>
  <c r="I53" i="20"/>
  <c r="F53" i="20"/>
  <c r="C53" i="20"/>
  <c r="L52" i="20"/>
  <c r="I52" i="20"/>
  <c r="F52" i="20"/>
  <c r="C52" i="20"/>
  <c r="L51" i="20"/>
  <c r="I51" i="20"/>
  <c r="F51" i="20"/>
  <c r="C51" i="20"/>
  <c r="L50" i="20"/>
  <c r="I50" i="20"/>
  <c r="F50" i="20"/>
  <c r="C50" i="20"/>
  <c r="L49" i="20"/>
  <c r="I49" i="20"/>
  <c r="F49" i="20"/>
  <c r="C49" i="20"/>
  <c r="L48" i="20"/>
  <c r="I48" i="20"/>
  <c r="F48" i="20"/>
  <c r="C48" i="20"/>
  <c r="L47" i="20"/>
  <c r="I47" i="20"/>
  <c r="F47" i="20"/>
  <c r="C47" i="20"/>
  <c r="L46" i="20"/>
  <c r="I46" i="20"/>
  <c r="F46" i="20"/>
  <c r="C46" i="20"/>
  <c r="L45" i="20"/>
  <c r="I45" i="20"/>
  <c r="F45" i="20"/>
  <c r="C45" i="20"/>
  <c r="L31" i="20"/>
  <c r="I31" i="20"/>
  <c r="L30" i="20"/>
  <c r="I30" i="20"/>
  <c r="L29" i="20"/>
  <c r="I29" i="20"/>
  <c r="L28" i="20"/>
  <c r="I28" i="20"/>
  <c r="L27" i="20"/>
  <c r="I27" i="20"/>
  <c r="L26" i="20"/>
  <c r="I26" i="20"/>
  <c r="F26" i="20"/>
  <c r="C26" i="20"/>
  <c r="C28" i="20" s="1"/>
  <c r="L25" i="20"/>
  <c r="I25" i="20"/>
  <c r="L24" i="20"/>
  <c r="I24" i="20"/>
  <c r="L23" i="20"/>
  <c r="I23" i="20"/>
  <c r="F23" i="20"/>
  <c r="C23" i="20"/>
  <c r="L22" i="20"/>
  <c r="I22" i="20"/>
  <c r="F22" i="20"/>
  <c r="C22" i="20"/>
  <c r="L21" i="20"/>
  <c r="I21" i="20"/>
  <c r="F21" i="20"/>
  <c r="C21" i="20"/>
  <c r="C24" i="20" s="1"/>
  <c r="L20" i="20"/>
  <c r="I20" i="20"/>
  <c r="F20" i="20"/>
  <c r="F24" i="20" s="1"/>
  <c r="C20" i="20"/>
  <c r="L19" i="20"/>
  <c r="I19" i="20"/>
  <c r="F19" i="20"/>
  <c r="F25" i="20" s="1"/>
  <c r="F29" i="20" s="1"/>
  <c r="C19" i="20"/>
  <c r="C25" i="20" s="1"/>
  <c r="C29" i="20" s="1"/>
  <c r="C149" i="19"/>
  <c r="O138" i="19"/>
  <c r="L138" i="19"/>
  <c r="I138" i="19"/>
  <c r="F138" i="19"/>
  <c r="O137" i="19"/>
  <c r="L137" i="19"/>
  <c r="I137" i="19"/>
  <c r="F137" i="19"/>
  <c r="F132" i="19"/>
  <c r="C131" i="19"/>
  <c r="F133" i="19" s="1"/>
  <c r="L130" i="19"/>
  <c r="I130" i="19"/>
  <c r="F130" i="19"/>
  <c r="C130" i="19"/>
  <c r="L129" i="19"/>
  <c r="I129" i="19"/>
  <c r="F129" i="19"/>
  <c r="C129" i="19"/>
  <c r="L128" i="19"/>
  <c r="I128" i="19"/>
  <c r="F128" i="19"/>
  <c r="C128" i="19"/>
  <c r="L127" i="19"/>
  <c r="I127" i="19"/>
  <c r="F127" i="19"/>
  <c r="C127" i="19"/>
  <c r="L126" i="19"/>
  <c r="I126" i="19"/>
  <c r="F126" i="19"/>
  <c r="C126" i="19"/>
  <c r="L125" i="19"/>
  <c r="I125" i="19"/>
  <c r="F125" i="19"/>
  <c r="C125" i="19"/>
  <c r="L124" i="19"/>
  <c r="I124" i="19"/>
  <c r="F124" i="19"/>
  <c r="C124" i="19"/>
  <c r="L123" i="19"/>
  <c r="I123" i="19"/>
  <c r="F123" i="19"/>
  <c r="C123" i="19"/>
  <c r="L122" i="19"/>
  <c r="I122" i="19"/>
  <c r="F122" i="19"/>
  <c r="C122" i="19"/>
  <c r="L121" i="19"/>
  <c r="I121" i="19"/>
  <c r="F121" i="19"/>
  <c r="C121" i="19"/>
  <c r="F109" i="19"/>
  <c r="B147" i="19" s="1"/>
  <c r="C108" i="19"/>
  <c r="F110" i="19" s="1"/>
  <c r="L107" i="19"/>
  <c r="I107" i="19"/>
  <c r="F107" i="19"/>
  <c r="C107" i="19"/>
  <c r="L106" i="19"/>
  <c r="I106" i="19"/>
  <c r="F106" i="19"/>
  <c r="C106" i="19"/>
  <c r="L105" i="19"/>
  <c r="I105" i="19"/>
  <c r="F105" i="19"/>
  <c r="C105" i="19"/>
  <c r="L104" i="19"/>
  <c r="I104" i="19"/>
  <c r="F104" i="19"/>
  <c r="C104" i="19"/>
  <c r="L103" i="19"/>
  <c r="I103" i="19"/>
  <c r="F103" i="19"/>
  <c r="C103" i="19"/>
  <c r="L102" i="19"/>
  <c r="I102" i="19"/>
  <c r="F102" i="19"/>
  <c r="C102" i="19"/>
  <c r="L101" i="19"/>
  <c r="I101" i="19"/>
  <c r="F101" i="19"/>
  <c r="C101" i="19"/>
  <c r="L100" i="19"/>
  <c r="I100" i="19"/>
  <c r="F100" i="19"/>
  <c r="C100" i="19"/>
  <c r="L99" i="19"/>
  <c r="I99" i="19"/>
  <c r="F99" i="19"/>
  <c r="C99" i="19"/>
  <c r="L98" i="19"/>
  <c r="I98" i="19"/>
  <c r="F98" i="19"/>
  <c r="C98" i="19"/>
  <c r="L97" i="19"/>
  <c r="I97" i="19"/>
  <c r="F97" i="19"/>
  <c r="C97" i="19"/>
  <c r="L96" i="19"/>
  <c r="I96" i="19"/>
  <c r="F96" i="19"/>
  <c r="C96" i="19"/>
  <c r="F86" i="19"/>
  <c r="F85" i="19"/>
  <c r="B146" i="19" s="1"/>
  <c r="C84" i="19"/>
  <c r="L83" i="19"/>
  <c r="I83" i="19"/>
  <c r="F83" i="19"/>
  <c r="C83" i="19"/>
  <c r="L82" i="19"/>
  <c r="I82" i="19"/>
  <c r="F82" i="19"/>
  <c r="C82" i="19"/>
  <c r="L81" i="19"/>
  <c r="I81" i="19"/>
  <c r="F81" i="19"/>
  <c r="C81" i="19"/>
  <c r="L80" i="19"/>
  <c r="I80" i="19"/>
  <c r="F80" i="19"/>
  <c r="C80" i="19"/>
  <c r="L79" i="19"/>
  <c r="I79" i="19"/>
  <c r="F79" i="19"/>
  <c r="C79" i="19"/>
  <c r="L78" i="19"/>
  <c r="I78" i="19"/>
  <c r="F78" i="19"/>
  <c r="C78" i="19"/>
  <c r="L77" i="19"/>
  <c r="I77" i="19"/>
  <c r="F77" i="19"/>
  <c r="C77" i="19"/>
  <c r="L76" i="19"/>
  <c r="I76" i="19"/>
  <c r="F76" i="19"/>
  <c r="C76" i="19"/>
  <c r="L75" i="19"/>
  <c r="I75" i="19"/>
  <c r="F75" i="19"/>
  <c r="C75" i="19"/>
  <c r="L74" i="19"/>
  <c r="I74" i="19"/>
  <c r="F74" i="19"/>
  <c r="C74" i="19"/>
  <c r="L73" i="19"/>
  <c r="I73" i="19"/>
  <c r="F73" i="19"/>
  <c r="C73" i="19"/>
  <c r="L72" i="19"/>
  <c r="I72" i="19"/>
  <c r="F72" i="19"/>
  <c r="C72" i="19"/>
  <c r="L71" i="19"/>
  <c r="I71" i="19"/>
  <c r="F71" i="19"/>
  <c r="C71" i="19"/>
  <c r="F60" i="19"/>
  <c r="F59" i="19"/>
  <c r="B145" i="19" s="1"/>
  <c r="C58" i="19"/>
  <c r="L57" i="19"/>
  <c r="I57" i="19"/>
  <c r="F57" i="19"/>
  <c r="C57" i="19"/>
  <c r="L56" i="19"/>
  <c r="I56" i="19"/>
  <c r="F56" i="19"/>
  <c r="C56" i="19"/>
  <c r="L55" i="19"/>
  <c r="I55" i="19"/>
  <c r="F55" i="19"/>
  <c r="C55" i="19"/>
  <c r="L54" i="19"/>
  <c r="I54" i="19"/>
  <c r="F54" i="19"/>
  <c r="C54" i="19"/>
  <c r="L53" i="19"/>
  <c r="I53" i="19"/>
  <c r="F53" i="19"/>
  <c r="C53" i="19"/>
  <c r="L52" i="19"/>
  <c r="I52" i="19"/>
  <c r="F52" i="19"/>
  <c r="C52" i="19"/>
  <c r="L51" i="19"/>
  <c r="I51" i="19"/>
  <c r="F51" i="19"/>
  <c r="C51" i="19"/>
  <c r="L50" i="19"/>
  <c r="I50" i="19"/>
  <c r="F50" i="19"/>
  <c r="C50" i="19"/>
  <c r="L49" i="19"/>
  <c r="I49" i="19"/>
  <c r="F49" i="19"/>
  <c r="C49" i="19"/>
  <c r="L48" i="19"/>
  <c r="I48" i="19"/>
  <c r="F48" i="19"/>
  <c r="C48" i="19"/>
  <c r="L47" i="19"/>
  <c r="I47" i="19"/>
  <c r="F47" i="19"/>
  <c r="C47" i="19"/>
  <c r="L46" i="19"/>
  <c r="I46" i="19"/>
  <c r="F46" i="19"/>
  <c r="C46" i="19"/>
  <c r="L45" i="19"/>
  <c r="I45" i="19"/>
  <c r="F45" i="19"/>
  <c r="C45" i="19"/>
  <c r="L31" i="19"/>
  <c r="I31" i="19"/>
  <c r="L30" i="19"/>
  <c r="I30" i="19"/>
  <c r="L29" i="19"/>
  <c r="I29" i="19"/>
  <c r="L28" i="19"/>
  <c r="I28" i="19"/>
  <c r="L27" i="19"/>
  <c r="I27" i="19"/>
  <c r="L26" i="19"/>
  <c r="I26" i="19"/>
  <c r="F26" i="19"/>
  <c r="C26" i="19"/>
  <c r="C28" i="19" s="1"/>
  <c r="L25" i="19"/>
  <c r="I25" i="19"/>
  <c r="L24" i="19"/>
  <c r="I24" i="19"/>
  <c r="L23" i="19"/>
  <c r="I23" i="19"/>
  <c r="F23" i="19"/>
  <c r="C23" i="19"/>
  <c r="L22" i="19"/>
  <c r="I22" i="19"/>
  <c r="F22" i="19"/>
  <c r="C22" i="19"/>
  <c r="L21" i="19"/>
  <c r="I21" i="19"/>
  <c r="F21" i="19"/>
  <c r="C21" i="19"/>
  <c r="L20" i="19"/>
  <c r="I20" i="19"/>
  <c r="F20" i="19"/>
  <c r="F24" i="19" s="1"/>
  <c r="C20" i="19"/>
  <c r="C24" i="19" s="1"/>
  <c r="L19" i="19"/>
  <c r="I19" i="19"/>
  <c r="F19" i="19"/>
  <c r="F25" i="19" s="1"/>
  <c r="F29" i="19" s="1"/>
  <c r="C19" i="19"/>
  <c r="C25" i="19" s="1"/>
  <c r="C29" i="19" s="1"/>
  <c r="C149" i="18"/>
  <c r="O138" i="18"/>
  <c r="L138" i="18"/>
  <c r="I138" i="18"/>
  <c r="F138" i="18"/>
  <c r="O137" i="18"/>
  <c r="L137" i="18"/>
  <c r="I137" i="18"/>
  <c r="F137" i="18"/>
  <c r="F133" i="18"/>
  <c r="F132" i="18"/>
  <c r="B148" i="18" s="1"/>
  <c r="C131" i="18"/>
  <c r="L130" i="18"/>
  <c r="I130" i="18"/>
  <c r="F130" i="18"/>
  <c r="C130" i="18"/>
  <c r="L129" i="18"/>
  <c r="I129" i="18"/>
  <c r="F129" i="18"/>
  <c r="C129" i="18"/>
  <c r="L128" i="18"/>
  <c r="I128" i="18"/>
  <c r="F128" i="18"/>
  <c r="C128" i="18"/>
  <c r="L127" i="18"/>
  <c r="I127" i="18"/>
  <c r="F127" i="18"/>
  <c r="C127" i="18"/>
  <c r="L126" i="18"/>
  <c r="I126" i="18"/>
  <c r="F126" i="18"/>
  <c r="C126" i="18"/>
  <c r="L125" i="18"/>
  <c r="I125" i="18"/>
  <c r="F125" i="18"/>
  <c r="C125" i="18"/>
  <c r="L124" i="18"/>
  <c r="I124" i="18"/>
  <c r="F124" i="18"/>
  <c r="C124" i="18"/>
  <c r="L123" i="18"/>
  <c r="I123" i="18"/>
  <c r="F123" i="18"/>
  <c r="C123" i="18"/>
  <c r="L122" i="18"/>
  <c r="I122" i="18"/>
  <c r="F122" i="18"/>
  <c r="C122" i="18"/>
  <c r="L121" i="18"/>
  <c r="I121" i="18"/>
  <c r="F121" i="18"/>
  <c r="C121" i="18"/>
  <c r="F109" i="18"/>
  <c r="C108" i="18"/>
  <c r="F110" i="18" s="1"/>
  <c r="B147" i="18" s="1"/>
  <c r="L107" i="18"/>
  <c r="I107" i="18"/>
  <c r="F107" i="18"/>
  <c r="C107" i="18"/>
  <c r="L106" i="18"/>
  <c r="I106" i="18"/>
  <c r="F106" i="18"/>
  <c r="C106" i="18"/>
  <c r="L105" i="18"/>
  <c r="I105" i="18"/>
  <c r="F105" i="18"/>
  <c r="C105" i="18"/>
  <c r="L104" i="18"/>
  <c r="I104" i="18"/>
  <c r="F104" i="18"/>
  <c r="C104" i="18"/>
  <c r="L103" i="18"/>
  <c r="I103" i="18"/>
  <c r="F103" i="18"/>
  <c r="C103" i="18"/>
  <c r="L102" i="18"/>
  <c r="I102" i="18"/>
  <c r="F102" i="18"/>
  <c r="C102" i="18"/>
  <c r="L101" i="18"/>
  <c r="I101" i="18"/>
  <c r="F101" i="18"/>
  <c r="C101" i="18"/>
  <c r="L100" i="18"/>
  <c r="I100" i="18"/>
  <c r="F100" i="18"/>
  <c r="C100" i="18"/>
  <c r="L99" i="18"/>
  <c r="I99" i="18"/>
  <c r="F99" i="18"/>
  <c r="C99" i="18"/>
  <c r="L98" i="18"/>
  <c r="I98" i="18"/>
  <c r="F98" i="18"/>
  <c r="C98" i="18"/>
  <c r="L97" i="18"/>
  <c r="I97" i="18"/>
  <c r="F97" i="18"/>
  <c r="C97" i="18"/>
  <c r="L96" i="18"/>
  <c r="I96" i="18"/>
  <c r="F96" i="18"/>
  <c r="C96" i="18"/>
  <c r="F85" i="18"/>
  <c r="C84" i="18"/>
  <c r="F86" i="18" s="1"/>
  <c r="L83" i="18"/>
  <c r="I83" i="18"/>
  <c r="F83" i="18"/>
  <c r="C83" i="18"/>
  <c r="L82" i="18"/>
  <c r="I82" i="18"/>
  <c r="F82" i="18"/>
  <c r="C82" i="18"/>
  <c r="L81" i="18"/>
  <c r="I81" i="18"/>
  <c r="F81" i="18"/>
  <c r="C81" i="18"/>
  <c r="L80" i="18"/>
  <c r="I80" i="18"/>
  <c r="F80" i="18"/>
  <c r="C80" i="18"/>
  <c r="L79" i="18"/>
  <c r="I79" i="18"/>
  <c r="F79" i="18"/>
  <c r="C79" i="18"/>
  <c r="L78" i="18"/>
  <c r="I78" i="18"/>
  <c r="F78" i="18"/>
  <c r="C78" i="18"/>
  <c r="L77" i="18"/>
  <c r="I77" i="18"/>
  <c r="F77" i="18"/>
  <c r="C77" i="18"/>
  <c r="L76" i="18"/>
  <c r="I76" i="18"/>
  <c r="F76" i="18"/>
  <c r="C76" i="18"/>
  <c r="L75" i="18"/>
  <c r="I75" i="18"/>
  <c r="F75" i="18"/>
  <c r="C75" i="18"/>
  <c r="L74" i="18"/>
  <c r="I74" i="18"/>
  <c r="F74" i="18"/>
  <c r="C74" i="18"/>
  <c r="L73" i="18"/>
  <c r="I73" i="18"/>
  <c r="F73" i="18"/>
  <c r="C73" i="18"/>
  <c r="L72" i="18"/>
  <c r="I72" i="18"/>
  <c r="F72" i="18"/>
  <c r="C72" i="18"/>
  <c r="L71" i="18"/>
  <c r="I71" i="18"/>
  <c r="F71" i="18"/>
  <c r="C71" i="18"/>
  <c r="F59" i="18"/>
  <c r="C58" i="18"/>
  <c r="F60" i="18" s="1"/>
  <c r="L57" i="18"/>
  <c r="I57" i="18"/>
  <c r="F57" i="18"/>
  <c r="C57" i="18"/>
  <c r="L56" i="18"/>
  <c r="I56" i="18"/>
  <c r="F56" i="18"/>
  <c r="C56" i="18"/>
  <c r="L55" i="18"/>
  <c r="I55" i="18"/>
  <c r="F55" i="18"/>
  <c r="C55" i="18"/>
  <c r="L54" i="18"/>
  <c r="I54" i="18"/>
  <c r="F54" i="18"/>
  <c r="C54" i="18"/>
  <c r="L53" i="18"/>
  <c r="I53" i="18"/>
  <c r="F53" i="18"/>
  <c r="C53" i="18"/>
  <c r="L52" i="18"/>
  <c r="I52" i="18"/>
  <c r="F52" i="18"/>
  <c r="C52" i="18"/>
  <c r="L51" i="18"/>
  <c r="I51" i="18"/>
  <c r="F51" i="18"/>
  <c r="C51" i="18"/>
  <c r="L50" i="18"/>
  <c r="I50" i="18"/>
  <c r="F50" i="18"/>
  <c r="C50" i="18"/>
  <c r="L49" i="18"/>
  <c r="I49" i="18"/>
  <c r="F49" i="18"/>
  <c r="C49" i="18"/>
  <c r="L48" i="18"/>
  <c r="I48" i="18"/>
  <c r="F48" i="18"/>
  <c r="C48" i="18"/>
  <c r="L47" i="18"/>
  <c r="I47" i="18"/>
  <c r="F47" i="18"/>
  <c r="C47" i="18"/>
  <c r="L46" i="18"/>
  <c r="I46" i="18"/>
  <c r="F46" i="18"/>
  <c r="C46" i="18"/>
  <c r="L45" i="18"/>
  <c r="I45" i="18"/>
  <c r="F45" i="18"/>
  <c r="C45" i="18"/>
  <c r="L31" i="18"/>
  <c r="I31" i="18"/>
  <c r="L30" i="18"/>
  <c r="I30" i="18"/>
  <c r="L29" i="18"/>
  <c r="I29" i="18"/>
  <c r="L28" i="18"/>
  <c r="I28" i="18"/>
  <c r="L27" i="18"/>
  <c r="I27" i="18"/>
  <c r="L26" i="18"/>
  <c r="I26" i="18"/>
  <c r="F26" i="18"/>
  <c r="C26" i="18"/>
  <c r="L25" i="18"/>
  <c r="I25" i="18"/>
  <c r="L24" i="18"/>
  <c r="I24" i="18"/>
  <c r="L23" i="18"/>
  <c r="I23" i="18"/>
  <c r="F23" i="18"/>
  <c r="C23" i="18"/>
  <c r="L22" i="18"/>
  <c r="I22" i="18"/>
  <c r="F22" i="18"/>
  <c r="C22" i="18"/>
  <c r="L21" i="18"/>
  <c r="I21" i="18"/>
  <c r="F21" i="18"/>
  <c r="F24" i="18" s="1"/>
  <c r="C21" i="18"/>
  <c r="C24" i="18" s="1"/>
  <c r="L20" i="18"/>
  <c r="I20" i="18"/>
  <c r="F20" i="18"/>
  <c r="C20" i="18"/>
  <c r="L19" i="18"/>
  <c r="I19" i="18"/>
  <c r="F19" i="18"/>
  <c r="F25" i="18" s="1"/>
  <c r="F29" i="18" s="1"/>
  <c r="C19" i="18"/>
  <c r="C25" i="18" s="1"/>
  <c r="C29" i="18" s="1"/>
  <c r="C149" i="17"/>
  <c r="O138" i="17"/>
  <c r="L138" i="17"/>
  <c r="I138" i="17"/>
  <c r="F138" i="17"/>
  <c r="O137" i="17"/>
  <c r="L137" i="17"/>
  <c r="I137" i="17"/>
  <c r="F137" i="17"/>
  <c r="F133" i="17"/>
  <c r="B148" i="17" s="1"/>
  <c r="F132" i="17"/>
  <c r="C131" i="17"/>
  <c r="L130" i="17"/>
  <c r="I130" i="17"/>
  <c r="F130" i="17"/>
  <c r="C130" i="17"/>
  <c r="L129" i="17"/>
  <c r="I129" i="17"/>
  <c r="F129" i="17"/>
  <c r="C129" i="17"/>
  <c r="L128" i="17"/>
  <c r="I128" i="17"/>
  <c r="F128" i="17"/>
  <c r="C128" i="17"/>
  <c r="L127" i="17"/>
  <c r="I127" i="17"/>
  <c r="F127" i="17"/>
  <c r="C127" i="17"/>
  <c r="L126" i="17"/>
  <c r="I126" i="17"/>
  <c r="F126" i="17"/>
  <c r="C126" i="17"/>
  <c r="L125" i="17"/>
  <c r="I125" i="17"/>
  <c r="F125" i="17"/>
  <c r="C125" i="17"/>
  <c r="L124" i="17"/>
  <c r="I124" i="17"/>
  <c r="F124" i="17"/>
  <c r="C124" i="17"/>
  <c r="L123" i="17"/>
  <c r="I123" i="17"/>
  <c r="F123" i="17"/>
  <c r="C123" i="17"/>
  <c r="L122" i="17"/>
  <c r="I122" i="17"/>
  <c r="F122" i="17"/>
  <c r="C122" i="17"/>
  <c r="L121" i="17"/>
  <c r="I121" i="17"/>
  <c r="F121" i="17"/>
  <c r="C121" i="17"/>
  <c r="F109" i="17"/>
  <c r="C108" i="17"/>
  <c r="F110" i="17" s="1"/>
  <c r="L107" i="17"/>
  <c r="I107" i="17"/>
  <c r="F107" i="17"/>
  <c r="C107" i="17"/>
  <c r="L106" i="17"/>
  <c r="I106" i="17"/>
  <c r="F106" i="17"/>
  <c r="C106" i="17"/>
  <c r="L105" i="17"/>
  <c r="I105" i="17"/>
  <c r="F105" i="17"/>
  <c r="C105" i="17"/>
  <c r="L104" i="17"/>
  <c r="I104" i="17"/>
  <c r="F104" i="17"/>
  <c r="C104" i="17"/>
  <c r="L103" i="17"/>
  <c r="I103" i="17"/>
  <c r="F103" i="17"/>
  <c r="C103" i="17"/>
  <c r="L102" i="17"/>
  <c r="I102" i="17"/>
  <c r="F102" i="17"/>
  <c r="C102" i="17"/>
  <c r="L101" i="17"/>
  <c r="I101" i="17"/>
  <c r="F101" i="17"/>
  <c r="C101" i="17"/>
  <c r="L100" i="17"/>
  <c r="I100" i="17"/>
  <c r="F100" i="17"/>
  <c r="C100" i="17"/>
  <c r="L99" i="17"/>
  <c r="I99" i="17"/>
  <c r="F99" i="17"/>
  <c r="C99" i="17"/>
  <c r="L98" i="17"/>
  <c r="I98" i="17"/>
  <c r="F98" i="17"/>
  <c r="C98" i="17"/>
  <c r="L97" i="17"/>
  <c r="I97" i="17"/>
  <c r="F97" i="17"/>
  <c r="C97" i="17"/>
  <c r="L96" i="17"/>
  <c r="I96" i="17"/>
  <c r="F96" i="17"/>
  <c r="C96" i="17"/>
  <c r="F85" i="17"/>
  <c r="C84" i="17"/>
  <c r="F86" i="17" s="1"/>
  <c r="L83" i="17"/>
  <c r="I83" i="17"/>
  <c r="F83" i="17"/>
  <c r="C83" i="17"/>
  <c r="L82" i="17"/>
  <c r="I82" i="17"/>
  <c r="F82" i="17"/>
  <c r="C82" i="17"/>
  <c r="L81" i="17"/>
  <c r="I81" i="17"/>
  <c r="F81" i="17"/>
  <c r="C81" i="17"/>
  <c r="L80" i="17"/>
  <c r="I80" i="17"/>
  <c r="F80" i="17"/>
  <c r="C80" i="17"/>
  <c r="L79" i="17"/>
  <c r="I79" i="17"/>
  <c r="F79" i="17"/>
  <c r="C79" i="17"/>
  <c r="L78" i="17"/>
  <c r="I78" i="17"/>
  <c r="F78" i="17"/>
  <c r="C78" i="17"/>
  <c r="L77" i="17"/>
  <c r="I77" i="17"/>
  <c r="F77" i="17"/>
  <c r="C77" i="17"/>
  <c r="L76" i="17"/>
  <c r="I76" i="17"/>
  <c r="F76" i="17"/>
  <c r="C76" i="17"/>
  <c r="L75" i="17"/>
  <c r="I75" i="17"/>
  <c r="F75" i="17"/>
  <c r="C75" i="17"/>
  <c r="L74" i="17"/>
  <c r="I74" i="17"/>
  <c r="F74" i="17"/>
  <c r="C74" i="17"/>
  <c r="L73" i="17"/>
  <c r="I73" i="17"/>
  <c r="F73" i="17"/>
  <c r="C73" i="17"/>
  <c r="L72" i="17"/>
  <c r="I72" i="17"/>
  <c r="F72" i="17"/>
  <c r="C72" i="17"/>
  <c r="L71" i="17"/>
  <c r="I71" i="17"/>
  <c r="F71" i="17"/>
  <c r="C71" i="17"/>
  <c r="F60" i="17"/>
  <c r="F59" i="17"/>
  <c r="B145" i="17" s="1"/>
  <c r="C58" i="17"/>
  <c r="L57" i="17"/>
  <c r="I57" i="17"/>
  <c r="F57" i="17"/>
  <c r="C57" i="17"/>
  <c r="L56" i="17"/>
  <c r="I56" i="17"/>
  <c r="F56" i="17"/>
  <c r="C56" i="17"/>
  <c r="L55" i="17"/>
  <c r="I55" i="17"/>
  <c r="F55" i="17"/>
  <c r="C55" i="17"/>
  <c r="L54" i="17"/>
  <c r="I54" i="17"/>
  <c r="F54" i="17"/>
  <c r="C54" i="17"/>
  <c r="L53" i="17"/>
  <c r="I53" i="17"/>
  <c r="F53" i="17"/>
  <c r="C53" i="17"/>
  <c r="L52" i="17"/>
  <c r="I52" i="17"/>
  <c r="F52" i="17"/>
  <c r="C52" i="17"/>
  <c r="L51" i="17"/>
  <c r="I51" i="17"/>
  <c r="F51" i="17"/>
  <c r="C51" i="17"/>
  <c r="L50" i="17"/>
  <c r="I50" i="17"/>
  <c r="F50" i="17"/>
  <c r="C50" i="17"/>
  <c r="L49" i="17"/>
  <c r="I49" i="17"/>
  <c r="F49" i="17"/>
  <c r="C49" i="17"/>
  <c r="L48" i="17"/>
  <c r="I48" i="17"/>
  <c r="F48" i="17"/>
  <c r="C48" i="17"/>
  <c r="L47" i="17"/>
  <c r="I47" i="17"/>
  <c r="F47" i="17"/>
  <c r="C47" i="17"/>
  <c r="L46" i="17"/>
  <c r="I46" i="17"/>
  <c r="F46" i="17"/>
  <c r="C46" i="17"/>
  <c r="L45" i="17"/>
  <c r="I45" i="17"/>
  <c r="F45" i="17"/>
  <c r="C45" i="17"/>
  <c r="L31" i="17"/>
  <c r="I31" i="17"/>
  <c r="L30" i="17"/>
  <c r="I30" i="17"/>
  <c r="L29" i="17"/>
  <c r="I29" i="17"/>
  <c r="L28" i="17"/>
  <c r="I28" i="17"/>
  <c r="L27" i="17"/>
  <c r="I27" i="17"/>
  <c r="L26" i="17"/>
  <c r="I26" i="17"/>
  <c r="F26" i="17"/>
  <c r="C26" i="17"/>
  <c r="C28" i="17" s="1"/>
  <c r="L25" i="17"/>
  <c r="I25" i="17"/>
  <c r="L24" i="17"/>
  <c r="I24" i="17"/>
  <c r="L23" i="17"/>
  <c r="I23" i="17"/>
  <c r="F23" i="17"/>
  <c r="C23" i="17"/>
  <c r="L22" i="17"/>
  <c r="I22" i="17"/>
  <c r="F22" i="17"/>
  <c r="C22" i="17"/>
  <c r="L21" i="17"/>
  <c r="I21" i="17"/>
  <c r="F21" i="17"/>
  <c r="C21" i="17"/>
  <c r="L20" i="17"/>
  <c r="I20" i="17"/>
  <c r="F20" i="17"/>
  <c r="F24" i="17" s="1"/>
  <c r="C20" i="17"/>
  <c r="C24" i="17" s="1"/>
  <c r="L19" i="17"/>
  <c r="I19" i="17"/>
  <c r="F19" i="17"/>
  <c r="F25" i="17" s="1"/>
  <c r="F29" i="17" s="1"/>
  <c r="C19" i="17"/>
  <c r="C25" i="17" s="1"/>
  <c r="C29" i="17" s="1"/>
  <c r="C149" i="16"/>
  <c r="O138" i="16"/>
  <c r="L138" i="16"/>
  <c r="I138" i="16"/>
  <c r="F138" i="16"/>
  <c r="O137" i="16"/>
  <c r="L137" i="16"/>
  <c r="I137" i="16"/>
  <c r="F137" i="16"/>
  <c r="F132" i="16"/>
  <c r="C131" i="16"/>
  <c r="F133" i="16" s="1"/>
  <c r="L130" i="16"/>
  <c r="I130" i="16"/>
  <c r="F130" i="16"/>
  <c r="C130" i="16"/>
  <c r="L129" i="16"/>
  <c r="I129" i="16"/>
  <c r="F129" i="16"/>
  <c r="C129" i="16"/>
  <c r="L128" i="16"/>
  <c r="I128" i="16"/>
  <c r="F128" i="16"/>
  <c r="C128" i="16"/>
  <c r="L127" i="16"/>
  <c r="I127" i="16"/>
  <c r="F127" i="16"/>
  <c r="C127" i="16"/>
  <c r="L126" i="16"/>
  <c r="I126" i="16"/>
  <c r="F126" i="16"/>
  <c r="C126" i="16"/>
  <c r="L125" i="16"/>
  <c r="I125" i="16"/>
  <c r="F125" i="16"/>
  <c r="C125" i="16"/>
  <c r="L124" i="16"/>
  <c r="I124" i="16"/>
  <c r="F124" i="16"/>
  <c r="C124" i="16"/>
  <c r="L123" i="16"/>
  <c r="I123" i="16"/>
  <c r="F123" i="16"/>
  <c r="C123" i="16"/>
  <c r="L122" i="16"/>
  <c r="I122" i="16"/>
  <c r="F122" i="16"/>
  <c r="C122" i="16"/>
  <c r="L121" i="16"/>
  <c r="I121" i="16"/>
  <c r="F121" i="16"/>
  <c r="C121" i="16"/>
  <c r="F109" i="16"/>
  <c r="C108" i="16"/>
  <c r="F110" i="16" s="1"/>
  <c r="L107" i="16"/>
  <c r="I107" i="16"/>
  <c r="F107" i="16"/>
  <c r="C107" i="16"/>
  <c r="L106" i="16"/>
  <c r="I106" i="16"/>
  <c r="F106" i="16"/>
  <c r="C106" i="16"/>
  <c r="L105" i="16"/>
  <c r="I105" i="16"/>
  <c r="F105" i="16"/>
  <c r="C105" i="16"/>
  <c r="L104" i="16"/>
  <c r="I104" i="16"/>
  <c r="F104" i="16"/>
  <c r="C104" i="16"/>
  <c r="L103" i="16"/>
  <c r="I103" i="16"/>
  <c r="F103" i="16"/>
  <c r="C103" i="16"/>
  <c r="L102" i="16"/>
  <c r="I102" i="16"/>
  <c r="F102" i="16"/>
  <c r="C102" i="16"/>
  <c r="L101" i="16"/>
  <c r="I101" i="16"/>
  <c r="F101" i="16"/>
  <c r="C101" i="16"/>
  <c r="L100" i="16"/>
  <c r="I100" i="16"/>
  <c r="F100" i="16"/>
  <c r="C100" i="16"/>
  <c r="L99" i="16"/>
  <c r="I99" i="16"/>
  <c r="F99" i="16"/>
  <c r="C99" i="16"/>
  <c r="L98" i="16"/>
  <c r="I98" i="16"/>
  <c r="F98" i="16"/>
  <c r="C98" i="16"/>
  <c r="L97" i="16"/>
  <c r="I97" i="16"/>
  <c r="F97" i="16"/>
  <c r="C97" i="16"/>
  <c r="L96" i="16"/>
  <c r="I96" i="16"/>
  <c r="F96" i="16"/>
  <c r="C96" i="16"/>
  <c r="F86" i="16"/>
  <c r="F85" i="16"/>
  <c r="B146" i="16" s="1"/>
  <c r="C84" i="16"/>
  <c r="L83" i="16"/>
  <c r="I83" i="16"/>
  <c r="F83" i="16"/>
  <c r="C83" i="16"/>
  <c r="L82" i="16"/>
  <c r="I82" i="16"/>
  <c r="F82" i="16"/>
  <c r="C82" i="16"/>
  <c r="L81" i="16"/>
  <c r="I81" i="16"/>
  <c r="F81" i="16"/>
  <c r="C81" i="16"/>
  <c r="L80" i="16"/>
  <c r="I80" i="16"/>
  <c r="F80" i="16"/>
  <c r="C80" i="16"/>
  <c r="L79" i="16"/>
  <c r="I79" i="16"/>
  <c r="F79" i="16"/>
  <c r="C79" i="16"/>
  <c r="L78" i="16"/>
  <c r="I78" i="16"/>
  <c r="F78" i="16"/>
  <c r="C78" i="16"/>
  <c r="L77" i="16"/>
  <c r="I77" i="16"/>
  <c r="F77" i="16"/>
  <c r="C77" i="16"/>
  <c r="L76" i="16"/>
  <c r="I76" i="16"/>
  <c r="F76" i="16"/>
  <c r="C76" i="16"/>
  <c r="L75" i="16"/>
  <c r="I75" i="16"/>
  <c r="F75" i="16"/>
  <c r="C75" i="16"/>
  <c r="L74" i="16"/>
  <c r="I74" i="16"/>
  <c r="F74" i="16"/>
  <c r="C74" i="16"/>
  <c r="L73" i="16"/>
  <c r="I73" i="16"/>
  <c r="F73" i="16"/>
  <c r="C73" i="16"/>
  <c r="L72" i="16"/>
  <c r="I72" i="16"/>
  <c r="F72" i="16"/>
  <c r="C72" i="16"/>
  <c r="L71" i="16"/>
  <c r="I71" i="16"/>
  <c r="F71" i="16"/>
  <c r="C71" i="16"/>
  <c r="F60" i="16"/>
  <c r="F59" i="16"/>
  <c r="B145" i="16" s="1"/>
  <c r="C58" i="16"/>
  <c r="L57" i="16"/>
  <c r="I57" i="16"/>
  <c r="F57" i="16"/>
  <c r="C57" i="16"/>
  <c r="L56" i="16"/>
  <c r="I56" i="16"/>
  <c r="F56" i="16"/>
  <c r="C56" i="16"/>
  <c r="L55" i="16"/>
  <c r="I55" i="16"/>
  <c r="F55" i="16"/>
  <c r="C55" i="16"/>
  <c r="L54" i="16"/>
  <c r="I54" i="16"/>
  <c r="F54" i="16"/>
  <c r="C54" i="16"/>
  <c r="L53" i="16"/>
  <c r="I53" i="16"/>
  <c r="F53" i="16"/>
  <c r="C53" i="16"/>
  <c r="L52" i="16"/>
  <c r="I52" i="16"/>
  <c r="F52" i="16"/>
  <c r="C52" i="16"/>
  <c r="L51" i="16"/>
  <c r="I51" i="16"/>
  <c r="F51" i="16"/>
  <c r="C51" i="16"/>
  <c r="L50" i="16"/>
  <c r="I50" i="16"/>
  <c r="F50" i="16"/>
  <c r="C50" i="16"/>
  <c r="L49" i="16"/>
  <c r="I49" i="16"/>
  <c r="F49" i="16"/>
  <c r="C49" i="16"/>
  <c r="L48" i="16"/>
  <c r="I48" i="16"/>
  <c r="F48" i="16"/>
  <c r="C48" i="16"/>
  <c r="L47" i="16"/>
  <c r="I47" i="16"/>
  <c r="F47" i="16"/>
  <c r="C47" i="16"/>
  <c r="L46" i="16"/>
  <c r="I46" i="16"/>
  <c r="F46" i="16"/>
  <c r="C46" i="16"/>
  <c r="L45" i="16"/>
  <c r="I45" i="16"/>
  <c r="F45" i="16"/>
  <c r="C45" i="16"/>
  <c r="L31" i="16"/>
  <c r="I31" i="16"/>
  <c r="L30" i="16"/>
  <c r="I30" i="16"/>
  <c r="L29" i="16"/>
  <c r="I29" i="16"/>
  <c r="L28" i="16"/>
  <c r="I28" i="16"/>
  <c r="L27" i="16"/>
  <c r="I27" i="16"/>
  <c r="L26" i="16"/>
  <c r="I26" i="16"/>
  <c r="F26" i="16"/>
  <c r="F27" i="16" s="1"/>
  <c r="C26" i="16"/>
  <c r="L25" i="16"/>
  <c r="I25" i="16"/>
  <c r="L24" i="16"/>
  <c r="I24" i="16"/>
  <c r="L23" i="16"/>
  <c r="I23" i="16"/>
  <c r="F23" i="16"/>
  <c r="C23" i="16"/>
  <c r="L22" i="16"/>
  <c r="I22" i="16"/>
  <c r="F22" i="16"/>
  <c r="C22" i="16"/>
  <c r="L21" i="16"/>
  <c r="I21" i="16"/>
  <c r="F21" i="16"/>
  <c r="C21" i="16"/>
  <c r="C24" i="16" s="1"/>
  <c r="C27" i="16" s="1"/>
  <c r="L20" i="16"/>
  <c r="I20" i="16"/>
  <c r="F20" i="16"/>
  <c r="F24" i="16" s="1"/>
  <c r="C20" i="16"/>
  <c r="L19" i="16"/>
  <c r="I19" i="16"/>
  <c r="F19" i="16"/>
  <c r="F25" i="16" s="1"/>
  <c r="F29" i="16" s="1"/>
  <c r="C19" i="16"/>
  <c r="C25" i="16" s="1"/>
  <c r="C29" i="16" s="1"/>
  <c r="C149" i="15"/>
  <c r="B148" i="15"/>
  <c r="O138" i="15"/>
  <c r="L138" i="15"/>
  <c r="I138" i="15"/>
  <c r="O137" i="15"/>
  <c r="L137" i="15"/>
  <c r="I137" i="15"/>
  <c r="F133" i="15"/>
  <c r="F132" i="15"/>
  <c r="C131" i="15"/>
  <c r="L130" i="15"/>
  <c r="I130" i="15"/>
  <c r="F130" i="15"/>
  <c r="C130" i="15"/>
  <c r="L129" i="15"/>
  <c r="I129" i="15"/>
  <c r="F129" i="15"/>
  <c r="C129" i="15"/>
  <c r="L128" i="15"/>
  <c r="I128" i="15"/>
  <c r="F128" i="15"/>
  <c r="C128" i="15"/>
  <c r="L127" i="15"/>
  <c r="I127" i="15"/>
  <c r="F127" i="15"/>
  <c r="C127" i="15"/>
  <c r="L126" i="15"/>
  <c r="I126" i="15"/>
  <c r="F126" i="15"/>
  <c r="C126" i="15"/>
  <c r="L125" i="15"/>
  <c r="I125" i="15"/>
  <c r="F125" i="15"/>
  <c r="C125" i="15"/>
  <c r="L124" i="15"/>
  <c r="I124" i="15"/>
  <c r="F124" i="15"/>
  <c r="C124" i="15"/>
  <c r="L123" i="15"/>
  <c r="I123" i="15"/>
  <c r="F123" i="15"/>
  <c r="C123" i="15"/>
  <c r="L122" i="15"/>
  <c r="I122" i="15"/>
  <c r="F122" i="15"/>
  <c r="C122" i="15"/>
  <c r="L121" i="15"/>
  <c r="I121" i="15"/>
  <c r="F121" i="15"/>
  <c r="C121" i="15"/>
  <c r="F109" i="15"/>
  <c r="C108" i="15"/>
  <c r="F110" i="15" s="1"/>
  <c r="B147" i="15" s="1"/>
  <c r="L107" i="15"/>
  <c r="I107" i="15"/>
  <c r="F107" i="15"/>
  <c r="C107" i="15"/>
  <c r="L106" i="15"/>
  <c r="I106" i="15"/>
  <c r="F106" i="15"/>
  <c r="C106" i="15"/>
  <c r="L105" i="15"/>
  <c r="I105" i="15"/>
  <c r="F105" i="15"/>
  <c r="C105" i="15"/>
  <c r="L104" i="15"/>
  <c r="I104" i="15"/>
  <c r="F104" i="15"/>
  <c r="C104" i="15"/>
  <c r="L103" i="15"/>
  <c r="I103" i="15"/>
  <c r="F103" i="15"/>
  <c r="C103" i="15"/>
  <c r="L102" i="15"/>
  <c r="I102" i="15"/>
  <c r="F102" i="15"/>
  <c r="C102" i="15"/>
  <c r="L101" i="15"/>
  <c r="I101" i="15"/>
  <c r="F101" i="15"/>
  <c r="C101" i="15"/>
  <c r="L100" i="15"/>
  <c r="I100" i="15"/>
  <c r="F100" i="15"/>
  <c r="C100" i="15"/>
  <c r="L99" i="15"/>
  <c r="I99" i="15"/>
  <c r="F99" i="15"/>
  <c r="C99" i="15"/>
  <c r="L98" i="15"/>
  <c r="I98" i="15"/>
  <c r="F98" i="15"/>
  <c r="C98" i="15"/>
  <c r="L97" i="15"/>
  <c r="I97" i="15"/>
  <c r="F97" i="15"/>
  <c r="C97" i="15"/>
  <c r="L96" i="15"/>
  <c r="I96" i="15"/>
  <c r="F96" i="15"/>
  <c r="C96" i="15"/>
  <c r="F86" i="15"/>
  <c r="F85" i="15"/>
  <c r="B146" i="15" s="1"/>
  <c r="C84" i="15"/>
  <c r="L83" i="15"/>
  <c r="I83" i="15"/>
  <c r="F83" i="15"/>
  <c r="C83" i="15"/>
  <c r="L82" i="15"/>
  <c r="I82" i="15"/>
  <c r="F82" i="15"/>
  <c r="C82" i="15"/>
  <c r="L81" i="15"/>
  <c r="I81" i="15"/>
  <c r="F81" i="15"/>
  <c r="C81" i="15"/>
  <c r="L80" i="15"/>
  <c r="I80" i="15"/>
  <c r="F80" i="15"/>
  <c r="C80" i="15"/>
  <c r="L79" i="15"/>
  <c r="I79" i="15"/>
  <c r="F79" i="15"/>
  <c r="C79" i="15"/>
  <c r="L78" i="15"/>
  <c r="I78" i="15"/>
  <c r="F78" i="15"/>
  <c r="C78" i="15"/>
  <c r="L77" i="15"/>
  <c r="I77" i="15"/>
  <c r="F77" i="15"/>
  <c r="C77" i="15"/>
  <c r="L76" i="15"/>
  <c r="I76" i="15"/>
  <c r="F76" i="15"/>
  <c r="C76" i="15"/>
  <c r="L75" i="15"/>
  <c r="I75" i="15"/>
  <c r="F75" i="15"/>
  <c r="C75" i="15"/>
  <c r="L74" i="15"/>
  <c r="I74" i="15"/>
  <c r="F74" i="15"/>
  <c r="C74" i="15"/>
  <c r="L73" i="15"/>
  <c r="I73" i="15"/>
  <c r="F73" i="15"/>
  <c r="C73" i="15"/>
  <c r="L72" i="15"/>
  <c r="I72" i="15"/>
  <c r="F72" i="15"/>
  <c r="C72" i="15"/>
  <c r="L71" i="15"/>
  <c r="I71" i="15"/>
  <c r="F71" i="15"/>
  <c r="C71" i="15"/>
  <c r="L57" i="15"/>
  <c r="I57" i="15"/>
  <c r="F57" i="15"/>
  <c r="L56" i="15"/>
  <c r="I56" i="15"/>
  <c r="F56" i="15"/>
  <c r="L55" i="15"/>
  <c r="I55" i="15"/>
  <c r="F55" i="15"/>
  <c r="L54" i="15"/>
  <c r="I54" i="15"/>
  <c r="F54" i="15"/>
  <c r="L53" i="15"/>
  <c r="I53" i="15"/>
  <c r="F53" i="15"/>
  <c r="L52" i="15"/>
  <c r="I52" i="15"/>
  <c r="F52" i="15"/>
  <c r="C52" i="15"/>
  <c r="L51" i="15"/>
  <c r="I51" i="15"/>
  <c r="F51" i="15"/>
  <c r="L50" i="15"/>
  <c r="I50" i="15"/>
  <c r="F50" i="15"/>
  <c r="L49" i="15"/>
  <c r="I49" i="15"/>
  <c r="F49" i="15"/>
  <c r="C49" i="15"/>
  <c r="L48" i="15"/>
  <c r="I48" i="15"/>
  <c r="F48" i="15"/>
  <c r="C48" i="15"/>
  <c r="L47" i="15"/>
  <c r="I47" i="15"/>
  <c r="F47" i="15"/>
  <c r="C47" i="15"/>
  <c r="L46" i="15"/>
  <c r="I46" i="15"/>
  <c r="F46" i="15"/>
  <c r="C46" i="15"/>
  <c r="C50" i="15" s="1"/>
  <c r="L45" i="15"/>
  <c r="I45" i="15"/>
  <c r="F45" i="15"/>
  <c r="C45" i="15"/>
  <c r="C51" i="15" s="1"/>
  <c r="C55" i="15" s="1"/>
  <c r="L31" i="15"/>
  <c r="I31" i="15"/>
  <c r="L30" i="15"/>
  <c r="I30" i="15"/>
  <c r="L29" i="15"/>
  <c r="I29" i="15"/>
  <c r="L28" i="15"/>
  <c r="I28" i="15"/>
  <c r="L27" i="15"/>
  <c r="I27" i="15"/>
  <c r="L26" i="15"/>
  <c r="I26" i="15"/>
  <c r="F26" i="15"/>
  <c r="C26" i="15"/>
  <c r="L25" i="15"/>
  <c r="I25" i="15"/>
  <c r="L24" i="15"/>
  <c r="I24" i="15"/>
  <c r="L23" i="15"/>
  <c r="I23" i="15"/>
  <c r="F23" i="15"/>
  <c r="C23" i="15"/>
  <c r="L22" i="15"/>
  <c r="I22" i="15"/>
  <c r="F22" i="15"/>
  <c r="C22" i="15"/>
  <c r="L21" i="15"/>
  <c r="I21" i="15"/>
  <c r="F21" i="15"/>
  <c r="C21" i="15"/>
  <c r="L20" i="15"/>
  <c r="I20" i="15"/>
  <c r="F20" i="15"/>
  <c r="F24" i="15" s="1"/>
  <c r="C20" i="15"/>
  <c r="C24" i="15" s="1"/>
  <c r="C28" i="15" s="1"/>
  <c r="L19" i="15"/>
  <c r="I19" i="15"/>
  <c r="F19" i="15"/>
  <c r="F25" i="15" s="1"/>
  <c r="F29" i="15" s="1"/>
  <c r="C19" i="15"/>
  <c r="C25" i="15" s="1"/>
  <c r="C29" i="15" s="1"/>
  <c r="C149" i="14"/>
  <c r="B148" i="14"/>
  <c r="O138" i="14"/>
  <c r="L138" i="14"/>
  <c r="I138" i="14"/>
  <c r="O137" i="14"/>
  <c r="L137" i="14"/>
  <c r="I137" i="14"/>
  <c r="F133" i="14"/>
  <c r="F132" i="14"/>
  <c r="C131" i="14"/>
  <c r="L130" i="14"/>
  <c r="I130" i="14"/>
  <c r="F130" i="14"/>
  <c r="C130" i="14"/>
  <c r="L129" i="14"/>
  <c r="I129" i="14"/>
  <c r="F129" i="14"/>
  <c r="C129" i="14"/>
  <c r="L128" i="14"/>
  <c r="I128" i="14"/>
  <c r="F128" i="14"/>
  <c r="C128" i="14"/>
  <c r="L127" i="14"/>
  <c r="I127" i="14"/>
  <c r="F127" i="14"/>
  <c r="C127" i="14"/>
  <c r="L126" i="14"/>
  <c r="I126" i="14"/>
  <c r="F126" i="14"/>
  <c r="C126" i="14"/>
  <c r="L125" i="14"/>
  <c r="I125" i="14"/>
  <c r="F125" i="14"/>
  <c r="C125" i="14"/>
  <c r="L124" i="14"/>
  <c r="I124" i="14"/>
  <c r="F124" i="14"/>
  <c r="C124" i="14"/>
  <c r="L123" i="14"/>
  <c r="I123" i="14"/>
  <c r="F123" i="14"/>
  <c r="C123" i="14"/>
  <c r="L122" i="14"/>
  <c r="I122" i="14"/>
  <c r="F122" i="14"/>
  <c r="C122" i="14"/>
  <c r="L121" i="14"/>
  <c r="I121" i="14"/>
  <c r="F121" i="14"/>
  <c r="C121" i="14"/>
  <c r="F110" i="14"/>
  <c r="F109" i="14"/>
  <c r="B147" i="14" s="1"/>
  <c r="C108" i="14"/>
  <c r="L107" i="14"/>
  <c r="I107" i="14"/>
  <c r="F107" i="14"/>
  <c r="C107" i="14"/>
  <c r="L106" i="14"/>
  <c r="I106" i="14"/>
  <c r="F106" i="14"/>
  <c r="C106" i="14"/>
  <c r="L105" i="14"/>
  <c r="I105" i="14"/>
  <c r="F105" i="14"/>
  <c r="C105" i="14"/>
  <c r="L104" i="14"/>
  <c r="I104" i="14"/>
  <c r="F104" i="14"/>
  <c r="C104" i="14"/>
  <c r="L103" i="14"/>
  <c r="I103" i="14"/>
  <c r="F103" i="14"/>
  <c r="C103" i="14"/>
  <c r="L102" i="14"/>
  <c r="I102" i="14"/>
  <c r="F102" i="14"/>
  <c r="C102" i="14"/>
  <c r="L101" i="14"/>
  <c r="I101" i="14"/>
  <c r="F101" i="14"/>
  <c r="C101" i="14"/>
  <c r="L100" i="14"/>
  <c r="I100" i="14"/>
  <c r="F100" i="14"/>
  <c r="C100" i="14"/>
  <c r="L99" i="14"/>
  <c r="I99" i="14"/>
  <c r="F99" i="14"/>
  <c r="C99" i="14"/>
  <c r="L98" i="14"/>
  <c r="I98" i="14"/>
  <c r="F98" i="14"/>
  <c r="C98" i="14"/>
  <c r="L97" i="14"/>
  <c r="I97" i="14"/>
  <c r="F97" i="14"/>
  <c r="C97" i="14"/>
  <c r="L96" i="14"/>
  <c r="I96" i="14"/>
  <c r="F96" i="14"/>
  <c r="C96" i="14"/>
  <c r="F86" i="14"/>
  <c r="F85" i="14"/>
  <c r="B146" i="14" s="1"/>
  <c r="C84" i="14"/>
  <c r="L83" i="14"/>
  <c r="I83" i="14"/>
  <c r="F83" i="14"/>
  <c r="C83" i="14"/>
  <c r="L82" i="14"/>
  <c r="I82" i="14"/>
  <c r="F82" i="14"/>
  <c r="C82" i="14"/>
  <c r="L81" i="14"/>
  <c r="I81" i="14"/>
  <c r="F81" i="14"/>
  <c r="C81" i="14"/>
  <c r="L80" i="14"/>
  <c r="I80" i="14"/>
  <c r="F80" i="14"/>
  <c r="C80" i="14"/>
  <c r="L79" i="14"/>
  <c r="I79" i="14"/>
  <c r="F79" i="14"/>
  <c r="C79" i="14"/>
  <c r="L78" i="14"/>
  <c r="I78" i="14"/>
  <c r="F78" i="14"/>
  <c r="C78" i="14"/>
  <c r="L77" i="14"/>
  <c r="I77" i="14"/>
  <c r="F77" i="14"/>
  <c r="C77" i="14"/>
  <c r="L76" i="14"/>
  <c r="I76" i="14"/>
  <c r="F76" i="14"/>
  <c r="C76" i="14"/>
  <c r="L75" i="14"/>
  <c r="I75" i="14"/>
  <c r="F75" i="14"/>
  <c r="C75" i="14"/>
  <c r="L74" i="14"/>
  <c r="I74" i="14"/>
  <c r="F74" i="14"/>
  <c r="C74" i="14"/>
  <c r="L73" i="14"/>
  <c r="I73" i="14"/>
  <c r="F73" i="14"/>
  <c r="C73" i="14"/>
  <c r="L72" i="14"/>
  <c r="I72" i="14"/>
  <c r="F72" i="14"/>
  <c r="C72" i="14"/>
  <c r="L71" i="14"/>
  <c r="I71" i="14"/>
  <c r="F71" i="14"/>
  <c r="C71" i="14"/>
  <c r="L57" i="14"/>
  <c r="I57" i="14"/>
  <c r="F57" i="14"/>
  <c r="L56" i="14"/>
  <c r="I56" i="14"/>
  <c r="F56" i="14"/>
  <c r="L55" i="14"/>
  <c r="I55" i="14"/>
  <c r="F55" i="14"/>
  <c r="L54" i="14"/>
  <c r="I54" i="14"/>
  <c r="F54" i="14"/>
  <c r="L53" i="14"/>
  <c r="I53" i="14"/>
  <c r="F53" i="14"/>
  <c r="L52" i="14"/>
  <c r="I52" i="14"/>
  <c r="F52" i="14"/>
  <c r="C52" i="14"/>
  <c r="L51" i="14"/>
  <c r="I51" i="14"/>
  <c r="F51" i="14"/>
  <c r="L50" i="14"/>
  <c r="I50" i="14"/>
  <c r="F50" i="14"/>
  <c r="L49" i="14"/>
  <c r="I49" i="14"/>
  <c r="F49" i="14"/>
  <c r="C49" i="14"/>
  <c r="L48" i="14"/>
  <c r="I48" i="14"/>
  <c r="F48" i="14"/>
  <c r="C48" i="14"/>
  <c r="L47" i="14"/>
  <c r="I47" i="14"/>
  <c r="F47" i="14"/>
  <c r="C47" i="14"/>
  <c r="L46" i="14"/>
  <c r="I46" i="14"/>
  <c r="F46" i="14"/>
  <c r="C46" i="14"/>
  <c r="L45" i="14"/>
  <c r="I45" i="14"/>
  <c r="F45" i="14"/>
  <c r="C45" i="14"/>
  <c r="C51" i="14" s="1"/>
  <c r="C55" i="14" s="1"/>
  <c r="L31" i="14"/>
  <c r="I31" i="14"/>
  <c r="L30" i="14"/>
  <c r="I30" i="14"/>
  <c r="L29" i="14"/>
  <c r="I29" i="14"/>
  <c r="L28" i="14"/>
  <c r="I28" i="14"/>
  <c r="L27" i="14"/>
  <c r="I27" i="14"/>
  <c r="L26" i="14"/>
  <c r="I26" i="14"/>
  <c r="F26" i="14"/>
  <c r="C26" i="14"/>
  <c r="L25" i="14"/>
  <c r="I25" i="14"/>
  <c r="L24" i="14"/>
  <c r="I24" i="14"/>
  <c r="L23" i="14"/>
  <c r="I23" i="14"/>
  <c r="F23" i="14"/>
  <c r="C23" i="14"/>
  <c r="L22" i="14"/>
  <c r="I22" i="14"/>
  <c r="F22" i="14"/>
  <c r="C22" i="14"/>
  <c r="L21" i="14"/>
  <c r="I21" i="14"/>
  <c r="F21" i="14"/>
  <c r="C21" i="14"/>
  <c r="L20" i="14"/>
  <c r="I20" i="14"/>
  <c r="F20" i="14"/>
  <c r="F24" i="14" s="1"/>
  <c r="C20" i="14"/>
  <c r="C24" i="14" s="1"/>
  <c r="L19" i="14"/>
  <c r="I19" i="14"/>
  <c r="F19" i="14"/>
  <c r="F25" i="14" s="1"/>
  <c r="F29" i="14" s="1"/>
  <c r="C19" i="14"/>
  <c r="C25" i="14" s="1"/>
  <c r="C29" i="14" s="1"/>
  <c r="C149" i="13"/>
  <c r="O138" i="13"/>
  <c r="L138" i="13"/>
  <c r="I138" i="13"/>
  <c r="F138" i="13"/>
  <c r="O137" i="13"/>
  <c r="L137" i="13"/>
  <c r="I137" i="13"/>
  <c r="F137" i="13"/>
  <c r="F133" i="13"/>
  <c r="B148" i="13" s="1"/>
  <c r="F132" i="13"/>
  <c r="C131" i="13"/>
  <c r="L130" i="13"/>
  <c r="I130" i="13"/>
  <c r="F130" i="13"/>
  <c r="C130" i="13"/>
  <c r="L129" i="13"/>
  <c r="I129" i="13"/>
  <c r="F129" i="13"/>
  <c r="C129" i="13"/>
  <c r="L128" i="13"/>
  <c r="I128" i="13"/>
  <c r="F128" i="13"/>
  <c r="C128" i="13"/>
  <c r="L127" i="13"/>
  <c r="I127" i="13"/>
  <c r="F127" i="13"/>
  <c r="C127" i="13"/>
  <c r="L126" i="13"/>
  <c r="I126" i="13"/>
  <c r="F126" i="13"/>
  <c r="C126" i="13"/>
  <c r="L125" i="13"/>
  <c r="I125" i="13"/>
  <c r="F125" i="13"/>
  <c r="C125" i="13"/>
  <c r="L124" i="13"/>
  <c r="I124" i="13"/>
  <c r="F124" i="13"/>
  <c r="C124" i="13"/>
  <c r="L123" i="13"/>
  <c r="I123" i="13"/>
  <c r="F123" i="13"/>
  <c r="C123" i="13"/>
  <c r="L122" i="13"/>
  <c r="I122" i="13"/>
  <c r="F122" i="13"/>
  <c r="C122" i="13"/>
  <c r="L121" i="13"/>
  <c r="I121" i="13"/>
  <c r="F121" i="13"/>
  <c r="C121" i="13"/>
  <c r="F109" i="13"/>
  <c r="C108" i="13"/>
  <c r="F110" i="13" s="1"/>
  <c r="L107" i="13"/>
  <c r="I107" i="13"/>
  <c r="F107" i="13"/>
  <c r="C107" i="13"/>
  <c r="L106" i="13"/>
  <c r="I106" i="13"/>
  <c r="F106" i="13"/>
  <c r="C106" i="13"/>
  <c r="L105" i="13"/>
  <c r="I105" i="13"/>
  <c r="F105" i="13"/>
  <c r="C105" i="13"/>
  <c r="L104" i="13"/>
  <c r="I104" i="13"/>
  <c r="F104" i="13"/>
  <c r="C104" i="13"/>
  <c r="L103" i="13"/>
  <c r="I103" i="13"/>
  <c r="F103" i="13"/>
  <c r="C103" i="13"/>
  <c r="L102" i="13"/>
  <c r="I102" i="13"/>
  <c r="F102" i="13"/>
  <c r="C102" i="13"/>
  <c r="L101" i="13"/>
  <c r="I101" i="13"/>
  <c r="F101" i="13"/>
  <c r="C101" i="13"/>
  <c r="L100" i="13"/>
  <c r="I100" i="13"/>
  <c r="F100" i="13"/>
  <c r="C100" i="13"/>
  <c r="L99" i="13"/>
  <c r="I99" i="13"/>
  <c r="F99" i="13"/>
  <c r="C99" i="13"/>
  <c r="L98" i="13"/>
  <c r="I98" i="13"/>
  <c r="F98" i="13"/>
  <c r="C98" i="13"/>
  <c r="L97" i="13"/>
  <c r="I97" i="13"/>
  <c r="F97" i="13"/>
  <c r="C97" i="13"/>
  <c r="L96" i="13"/>
  <c r="I96" i="13"/>
  <c r="F96" i="13"/>
  <c r="C96" i="13"/>
  <c r="F85" i="13"/>
  <c r="C84" i="13"/>
  <c r="F86" i="13" s="1"/>
  <c r="B146" i="13" s="1"/>
  <c r="L83" i="13"/>
  <c r="I83" i="13"/>
  <c r="F83" i="13"/>
  <c r="C83" i="13"/>
  <c r="L82" i="13"/>
  <c r="I82" i="13"/>
  <c r="F82" i="13"/>
  <c r="C82" i="13"/>
  <c r="L81" i="13"/>
  <c r="I81" i="13"/>
  <c r="F81" i="13"/>
  <c r="C81" i="13"/>
  <c r="L80" i="13"/>
  <c r="I80" i="13"/>
  <c r="F80" i="13"/>
  <c r="C80" i="13"/>
  <c r="L79" i="13"/>
  <c r="I79" i="13"/>
  <c r="F79" i="13"/>
  <c r="C79" i="13"/>
  <c r="L78" i="13"/>
  <c r="I78" i="13"/>
  <c r="F78" i="13"/>
  <c r="C78" i="13"/>
  <c r="L77" i="13"/>
  <c r="I77" i="13"/>
  <c r="F77" i="13"/>
  <c r="C77" i="13"/>
  <c r="L76" i="13"/>
  <c r="I76" i="13"/>
  <c r="F76" i="13"/>
  <c r="C76" i="13"/>
  <c r="L75" i="13"/>
  <c r="I75" i="13"/>
  <c r="F75" i="13"/>
  <c r="C75" i="13"/>
  <c r="L74" i="13"/>
  <c r="I74" i="13"/>
  <c r="F74" i="13"/>
  <c r="C74" i="13"/>
  <c r="L73" i="13"/>
  <c r="I73" i="13"/>
  <c r="F73" i="13"/>
  <c r="C73" i="13"/>
  <c r="L72" i="13"/>
  <c r="I72" i="13"/>
  <c r="F72" i="13"/>
  <c r="C72" i="13"/>
  <c r="L71" i="13"/>
  <c r="I71" i="13"/>
  <c r="F71" i="13"/>
  <c r="C71" i="13"/>
  <c r="F60" i="13"/>
  <c r="F59" i="13"/>
  <c r="B145" i="13" s="1"/>
  <c r="C58" i="13"/>
  <c r="L57" i="13"/>
  <c r="I57" i="13"/>
  <c r="F57" i="13"/>
  <c r="C57" i="13"/>
  <c r="L56" i="13"/>
  <c r="I56" i="13"/>
  <c r="F56" i="13"/>
  <c r="C56" i="13"/>
  <c r="L55" i="13"/>
  <c r="I55" i="13"/>
  <c r="F55" i="13"/>
  <c r="C55" i="13"/>
  <c r="L54" i="13"/>
  <c r="I54" i="13"/>
  <c r="F54" i="13"/>
  <c r="C54" i="13"/>
  <c r="L53" i="13"/>
  <c r="I53" i="13"/>
  <c r="F53" i="13"/>
  <c r="C53" i="13"/>
  <c r="L52" i="13"/>
  <c r="I52" i="13"/>
  <c r="F52" i="13"/>
  <c r="C52" i="13"/>
  <c r="L51" i="13"/>
  <c r="I51" i="13"/>
  <c r="F51" i="13"/>
  <c r="C51" i="13"/>
  <c r="L50" i="13"/>
  <c r="I50" i="13"/>
  <c r="F50" i="13"/>
  <c r="C50" i="13"/>
  <c r="L49" i="13"/>
  <c r="I49" i="13"/>
  <c r="F49" i="13"/>
  <c r="C49" i="13"/>
  <c r="L48" i="13"/>
  <c r="I48" i="13"/>
  <c r="F48" i="13"/>
  <c r="C48" i="13"/>
  <c r="L47" i="13"/>
  <c r="I47" i="13"/>
  <c r="F47" i="13"/>
  <c r="C47" i="13"/>
  <c r="L46" i="13"/>
  <c r="I46" i="13"/>
  <c r="F46" i="13"/>
  <c r="C46" i="13"/>
  <c r="L45" i="13"/>
  <c r="I45" i="13"/>
  <c r="F45" i="13"/>
  <c r="C45" i="13"/>
  <c r="L31" i="13"/>
  <c r="I31" i="13"/>
  <c r="L30" i="13"/>
  <c r="I30" i="13"/>
  <c r="L29" i="13"/>
  <c r="I29" i="13"/>
  <c r="L28" i="13"/>
  <c r="I28" i="13"/>
  <c r="L27" i="13"/>
  <c r="I27" i="13"/>
  <c r="L26" i="13"/>
  <c r="I26" i="13"/>
  <c r="F26" i="13"/>
  <c r="F28" i="13" s="1"/>
  <c r="C26" i="13"/>
  <c r="L25" i="13"/>
  <c r="I25" i="13"/>
  <c r="L24" i="13"/>
  <c r="I24" i="13"/>
  <c r="L23" i="13"/>
  <c r="I23" i="13"/>
  <c r="F23" i="13"/>
  <c r="C23" i="13"/>
  <c r="L22" i="13"/>
  <c r="I22" i="13"/>
  <c r="F22" i="13"/>
  <c r="C22" i="13"/>
  <c r="L21" i="13"/>
  <c r="I21" i="13"/>
  <c r="F21" i="13"/>
  <c r="C21" i="13"/>
  <c r="C24" i="13" s="1"/>
  <c r="L20" i="13"/>
  <c r="I20" i="13"/>
  <c r="F20" i="13"/>
  <c r="F24" i="13" s="1"/>
  <c r="C20" i="13"/>
  <c r="L19" i="13"/>
  <c r="I19" i="13"/>
  <c r="F19" i="13"/>
  <c r="F25" i="13" s="1"/>
  <c r="F29" i="13" s="1"/>
  <c r="C19" i="13"/>
  <c r="C25" i="13" s="1"/>
  <c r="C29" i="13" s="1"/>
  <c r="C149" i="12"/>
  <c r="O138" i="12"/>
  <c r="L138" i="12"/>
  <c r="I138" i="12"/>
  <c r="F138" i="12"/>
  <c r="O137" i="12"/>
  <c r="L137" i="12"/>
  <c r="I137" i="12"/>
  <c r="F137" i="12"/>
  <c r="F132" i="12"/>
  <c r="C131" i="12"/>
  <c r="F133" i="12" s="1"/>
  <c r="L130" i="12"/>
  <c r="I130" i="12"/>
  <c r="F130" i="12"/>
  <c r="C130" i="12"/>
  <c r="L129" i="12"/>
  <c r="I129" i="12"/>
  <c r="F129" i="12"/>
  <c r="C129" i="12"/>
  <c r="L128" i="12"/>
  <c r="I128" i="12"/>
  <c r="F128" i="12"/>
  <c r="C128" i="12"/>
  <c r="L127" i="12"/>
  <c r="I127" i="12"/>
  <c r="F127" i="12"/>
  <c r="C127" i="12"/>
  <c r="L126" i="12"/>
  <c r="I126" i="12"/>
  <c r="F126" i="12"/>
  <c r="C126" i="12"/>
  <c r="L125" i="12"/>
  <c r="I125" i="12"/>
  <c r="F125" i="12"/>
  <c r="C125" i="12"/>
  <c r="L124" i="12"/>
  <c r="I124" i="12"/>
  <c r="F124" i="12"/>
  <c r="C124" i="12"/>
  <c r="L123" i="12"/>
  <c r="I123" i="12"/>
  <c r="F123" i="12"/>
  <c r="C123" i="12"/>
  <c r="L122" i="12"/>
  <c r="I122" i="12"/>
  <c r="F122" i="12"/>
  <c r="C122" i="12"/>
  <c r="L121" i="12"/>
  <c r="I121" i="12"/>
  <c r="F121" i="12"/>
  <c r="C121" i="12"/>
  <c r="F110" i="12"/>
  <c r="F109" i="12"/>
  <c r="B147" i="12" s="1"/>
  <c r="C108" i="12"/>
  <c r="L107" i="12"/>
  <c r="I107" i="12"/>
  <c r="F107" i="12"/>
  <c r="C107" i="12"/>
  <c r="L106" i="12"/>
  <c r="I106" i="12"/>
  <c r="F106" i="12"/>
  <c r="C106" i="12"/>
  <c r="L105" i="12"/>
  <c r="I105" i="12"/>
  <c r="F105" i="12"/>
  <c r="C105" i="12"/>
  <c r="L104" i="12"/>
  <c r="I104" i="12"/>
  <c r="F104" i="12"/>
  <c r="C104" i="12"/>
  <c r="L103" i="12"/>
  <c r="I103" i="12"/>
  <c r="F103" i="12"/>
  <c r="C103" i="12"/>
  <c r="L102" i="12"/>
  <c r="I102" i="12"/>
  <c r="F102" i="12"/>
  <c r="C102" i="12"/>
  <c r="L101" i="12"/>
  <c r="I101" i="12"/>
  <c r="F101" i="12"/>
  <c r="C101" i="12"/>
  <c r="L100" i="12"/>
  <c r="I100" i="12"/>
  <c r="F100" i="12"/>
  <c r="C100" i="12"/>
  <c r="L99" i="12"/>
  <c r="I99" i="12"/>
  <c r="F99" i="12"/>
  <c r="C99" i="12"/>
  <c r="L98" i="12"/>
  <c r="I98" i="12"/>
  <c r="F98" i="12"/>
  <c r="C98" i="12"/>
  <c r="L97" i="12"/>
  <c r="I97" i="12"/>
  <c r="F97" i="12"/>
  <c r="C97" i="12"/>
  <c r="L96" i="12"/>
  <c r="I96" i="12"/>
  <c r="F96" i="12"/>
  <c r="C96" i="12"/>
  <c r="F85" i="12"/>
  <c r="C84" i="12"/>
  <c r="F86" i="12" s="1"/>
  <c r="L83" i="12"/>
  <c r="I83" i="12"/>
  <c r="F83" i="12"/>
  <c r="C83" i="12"/>
  <c r="L82" i="12"/>
  <c r="I82" i="12"/>
  <c r="F82" i="12"/>
  <c r="C82" i="12"/>
  <c r="L81" i="12"/>
  <c r="I81" i="12"/>
  <c r="F81" i="12"/>
  <c r="C81" i="12"/>
  <c r="L80" i="12"/>
  <c r="I80" i="12"/>
  <c r="F80" i="12"/>
  <c r="C80" i="12"/>
  <c r="L79" i="12"/>
  <c r="I79" i="12"/>
  <c r="F79" i="12"/>
  <c r="C79" i="12"/>
  <c r="L78" i="12"/>
  <c r="I78" i="12"/>
  <c r="F78" i="12"/>
  <c r="C78" i="12"/>
  <c r="L77" i="12"/>
  <c r="I77" i="12"/>
  <c r="F77" i="12"/>
  <c r="C77" i="12"/>
  <c r="L76" i="12"/>
  <c r="I76" i="12"/>
  <c r="F76" i="12"/>
  <c r="C76" i="12"/>
  <c r="L75" i="12"/>
  <c r="I75" i="12"/>
  <c r="F75" i="12"/>
  <c r="C75" i="12"/>
  <c r="L74" i="12"/>
  <c r="I74" i="12"/>
  <c r="F74" i="12"/>
  <c r="C74" i="12"/>
  <c r="L73" i="12"/>
  <c r="I73" i="12"/>
  <c r="F73" i="12"/>
  <c r="C73" i="12"/>
  <c r="L72" i="12"/>
  <c r="I72" i="12"/>
  <c r="F72" i="12"/>
  <c r="C72" i="12"/>
  <c r="L71" i="12"/>
  <c r="I71" i="12"/>
  <c r="F71" i="12"/>
  <c r="C71" i="12"/>
  <c r="F60" i="12"/>
  <c r="F59" i="12"/>
  <c r="B145" i="12" s="1"/>
  <c r="C58" i="12"/>
  <c r="L57" i="12"/>
  <c r="I57" i="12"/>
  <c r="F57" i="12"/>
  <c r="C57" i="12"/>
  <c r="L56" i="12"/>
  <c r="I56" i="12"/>
  <c r="F56" i="12"/>
  <c r="C56" i="12"/>
  <c r="L55" i="12"/>
  <c r="I55" i="12"/>
  <c r="F55" i="12"/>
  <c r="C55" i="12"/>
  <c r="L54" i="12"/>
  <c r="I54" i="12"/>
  <c r="F54" i="12"/>
  <c r="C54" i="12"/>
  <c r="L53" i="12"/>
  <c r="I53" i="12"/>
  <c r="F53" i="12"/>
  <c r="C53" i="12"/>
  <c r="L52" i="12"/>
  <c r="I52" i="12"/>
  <c r="F52" i="12"/>
  <c r="C52" i="12"/>
  <c r="L51" i="12"/>
  <c r="I51" i="12"/>
  <c r="F51" i="12"/>
  <c r="C51" i="12"/>
  <c r="L50" i="12"/>
  <c r="I50" i="12"/>
  <c r="F50" i="12"/>
  <c r="C50" i="12"/>
  <c r="L49" i="12"/>
  <c r="I49" i="12"/>
  <c r="F49" i="12"/>
  <c r="C49" i="12"/>
  <c r="L48" i="12"/>
  <c r="I48" i="12"/>
  <c r="F48" i="12"/>
  <c r="C48" i="12"/>
  <c r="L47" i="12"/>
  <c r="I47" i="12"/>
  <c r="F47" i="12"/>
  <c r="C47" i="12"/>
  <c r="L46" i="12"/>
  <c r="I46" i="12"/>
  <c r="F46" i="12"/>
  <c r="C46" i="12"/>
  <c r="L45" i="12"/>
  <c r="I45" i="12"/>
  <c r="F45" i="12"/>
  <c r="C45" i="12"/>
  <c r="L31" i="12"/>
  <c r="I31" i="12"/>
  <c r="L30" i="12"/>
  <c r="I30" i="12"/>
  <c r="L29" i="12"/>
  <c r="I29" i="12"/>
  <c r="L28" i="12"/>
  <c r="I28" i="12"/>
  <c r="L27" i="12"/>
  <c r="I27" i="12"/>
  <c r="L26" i="12"/>
  <c r="I26" i="12"/>
  <c r="F26" i="12"/>
  <c r="C26" i="12"/>
  <c r="L25" i="12"/>
  <c r="I25" i="12"/>
  <c r="L24" i="12"/>
  <c r="I24" i="12"/>
  <c r="L23" i="12"/>
  <c r="I23" i="12"/>
  <c r="F23" i="12"/>
  <c r="C23" i="12"/>
  <c r="L22" i="12"/>
  <c r="I22" i="12"/>
  <c r="F22" i="12"/>
  <c r="C22" i="12"/>
  <c r="L21" i="12"/>
  <c r="I21" i="12"/>
  <c r="F21" i="12"/>
  <c r="C21" i="12"/>
  <c r="C24" i="12" s="1"/>
  <c r="C27" i="12" s="1"/>
  <c r="L20" i="12"/>
  <c r="I20" i="12"/>
  <c r="F20" i="12"/>
  <c r="C20" i="12"/>
  <c r="L19" i="12"/>
  <c r="I19" i="12"/>
  <c r="F19" i="12"/>
  <c r="C19" i="12"/>
  <c r="C25" i="12" s="1"/>
  <c r="C29" i="12" s="1"/>
  <c r="L97" i="9"/>
  <c r="I97" i="9"/>
  <c r="F97" i="9"/>
  <c r="C96" i="9"/>
  <c r="C149" i="9"/>
  <c r="F28" i="25" l="1"/>
  <c r="B147" i="25"/>
  <c r="F30" i="25"/>
  <c r="F31" i="25"/>
  <c r="B148" i="25"/>
  <c r="C30" i="25"/>
  <c r="C31" i="25"/>
  <c r="C28" i="25"/>
  <c r="F27" i="25"/>
  <c r="F30" i="24"/>
  <c r="F31" i="24"/>
  <c r="B147" i="24"/>
  <c r="C30" i="24"/>
  <c r="C32" i="24" s="1"/>
  <c r="C31" i="24"/>
  <c r="C28" i="24"/>
  <c r="C27" i="24"/>
  <c r="F27" i="24"/>
  <c r="F30" i="23"/>
  <c r="F31" i="23"/>
  <c r="I31" i="23"/>
  <c r="I30" i="23"/>
  <c r="B147" i="23"/>
  <c r="C28" i="23"/>
  <c r="F28" i="23"/>
  <c r="B148" i="23"/>
  <c r="C31" i="23"/>
  <c r="C30" i="23"/>
  <c r="I28" i="23"/>
  <c r="F27" i="23"/>
  <c r="B146" i="22"/>
  <c r="B148" i="22"/>
  <c r="F30" i="22"/>
  <c r="F31" i="22"/>
  <c r="C30" i="22"/>
  <c r="C32" i="22" s="1"/>
  <c r="C31" i="22"/>
  <c r="C28" i="22"/>
  <c r="F27" i="22"/>
  <c r="I24" i="21"/>
  <c r="I30" i="21"/>
  <c r="I31" i="21"/>
  <c r="I28" i="21"/>
  <c r="I27" i="21"/>
  <c r="C30" i="21"/>
  <c r="C31" i="21"/>
  <c r="C28" i="21"/>
  <c r="F30" i="21"/>
  <c r="F31" i="21"/>
  <c r="F28" i="21"/>
  <c r="C27" i="21"/>
  <c r="F27" i="21"/>
  <c r="C30" i="20"/>
  <c r="C31" i="20"/>
  <c r="F30" i="20"/>
  <c r="F31" i="20"/>
  <c r="F27" i="20"/>
  <c r="F28" i="20"/>
  <c r="C27" i="20"/>
  <c r="F30" i="19"/>
  <c r="F31" i="19"/>
  <c r="F28" i="19"/>
  <c r="B148" i="19"/>
  <c r="C30" i="19"/>
  <c r="C31" i="19"/>
  <c r="C27" i="19"/>
  <c r="F27" i="19"/>
  <c r="C28" i="18"/>
  <c r="C30" i="18"/>
  <c r="C31" i="18"/>
  <c r="F30" i="18"/>
  <c r="F31" i="18"/>
  <c r="F28" i="18"/>
  <c r="B146" i="18"/>
  <c r="B145" i="18"/>
  <c r="C27" i="18"/>
  <c r="F27" i="18"/>
  <c r="C30" i="17"/>
  <c r="C31" i="17"/>
  <c r="F30" i="17"/>
  <c r="F31" i="17"/>
  <c r="F28" i="17"/>
  <c r="B146" i="17"/>
  <c r="B147" i="17"/>
  <c r="C27" i="17"/>
  <c r="F27" i="17"/>
  <c r="B147" i="16"/>
  <c r="F30" i="16"/>
  <c r="F31" i="16"/>
  <c r="B148" i="16"/>
  <c r="C30" i="16"/>
  <c r="C31" i="16"/>
  <c r="C28" i="16"/>
  <c r="F28" i="16"/>
  <c r="C54" i="15"/>
  <c r="C27" i="15"/>
  <c r="C56" i="15"/>
  <c r="C57" i="15"/>
  <c r="C31" i="15"/>
  <c r="C30" i="15"/>
  <c r="F31" i="15"/>
  <c r="F30" i="15"/>
  <c r="F27" i="15"/>
  <c r="F28" i="15"/>
  <c r="C53" i="15"/>
  <c r="C50" i="14"/>
  <c r="C56" i="14"/>
  <c r="C57" i="14"/>
  <c r="C54" i="14"/>
  <c r="C53" i="14"/>
  <c r="C28" i="14"/>
  <c r="C31" i="14"/>
  <c r="C30" i="14"/>
  <c r="F30" i="14"/>
  <c r="F31" i="14"/>
  <c r="F28" i="14"/>
  <c r="C27" i="14"/>
  <c r="F27" i="14"/>
  <c r="C30" i="13"/>
  <c r="C31" i="13"/>
  <c r="C28" i="13"/>
  <c r="F31" i="13"/>
  <c r="F30" i="13"/>
  <c r="B147" i="13"/>
  <c r="C27" i="13"/>
  <c r="F27" i="13"/>
  <c r="F25" i="12"/>
  <c r="F29" i="12" s="1"/>
  <c r="F31" i="12" s="1"/>
  <c r="F24" i="12"/>
  <c r="F27" i="12" s="1"/>
  <c r="B146" i="12"/>
  <c r="B148" i="12"/>
  <c r="C30" i="12"/>
  <c r="C31" i="12"/>
  <c r="C28" i="12"/>
  <c r="O83" i="7"/>
  <c r="O79" i="7"/>
  <c r="C32" i="25" l="1"/>
  <c r="F33" i="24"/>
  <c r="F34" i="24"/>
  <c r="C32" i="23"/>
  <c r="F33" i="23" s="1"/>
  <c r="F33" i="22"/>
  <c r="F34" i="22"/>
  <c r="C32" i="21"/>
  <c r="C32" i="20"/>
  <c r="F33" i="20" s="1"/>
  <c r="C32" i="19"/>
  <c r="C32" i="18"/>
  <c r="C32" i="17"/>
  <c r="C32" i="16"/>
  <c r="C58" i="15"/>
  <c r="C32" i="15"/>
  <c r="C58" i="14"/>
  <c r="C32" i="14"/>
  <c r="C32" i="13"/>
  <c r="F33" i="13" s="1"/>
  <c r="F28" i="12"/>
  <c r="F30" i="12"/>
  <c r="T79" i="7"/>
  <c r="U78" i="7"/>
  <c r="T78" i="7"/>
  <c r="Q83" i="7"/>
  <c r="Q84" i="7" s="1"/>
  <c r="O76" i="7"/>
  <c r="Q81" i="7"/>
  <c r="F33" i="25" l="1"/>
  <c r="F34" i="25"/>
  <c r="D137" i="24"/>
  <c r="B144" i="24"/>
  <c r="D138" i="24"/>
  <c r="F34" i="23"/>
  <c r="D137" i="23" s="1"/>
  <c r="D137" i="22"/>
  <c r="D138" i="22"/>
  <c r="B144" i="22"/>
  <c r="F33" i="21"/>
  <c r="F34" i="21"/>
  <c r="F34" i="20"/>
  <c r="D137" i="20" s="1"/>
  <c r="B144" i="20"/>
  <c r="F33" i="19"/>
  <c r="F34" i="19"/>
  <c r="F33" i="18"/>
  <c r="F34" i="18"/>
  <c r="F33" i="17"/>
  <c r="F34" i="17"/>
  <c r="F34" i="16"/>
  <c r="F33" i="16"/>
  <c r="F34" i="15"/>
  <c r="F33" i="15"/>
  <c r="F60" i="15"/>
  <c r="F59" i="15"/>
  <c r="F59" i="14"/>
  <c r="F60" i="14"/>
  <c r="F33" i="14"/>
  <c r="F34" i="14"/>
  <c r="F34" i="13"/>
  <c r="D137" i="13" s="1"/>
  <c r="B144" i="13"/>
  <c r="D138" i="13"/>
  <c r="C32" i="12"/>
  <c r="F34" i="12" s="1"/>
  <c r="V78" i="7"/>
  <c r="O84" i="7"/>
  <c r="O80" i="7"/>
  <c r="D137" i="25" l="1"/>
  <c r="B144" i="25"/>
  <c r="D138" i="25"/>
  <c r="C140" i="24"/>
  <c r="B144" i="23"/>
  <c r="D138" i="23"/>
  <c r="C140" i="23" s="1"/>
  <c r="C140" i="22"/>
  <c r="D137" i="21"/>
  <c r="B144" i="21"/>
  <c r="D138" i="21"/>
  <c r="D138" i="20"/>
  <c r="C140" i="20"/>
  <c r="D137" i="19"/>
  <c r="B144" i="19"/>
  <c r="D138" i="19"/>
  <c r="D137" i="18"/>
  <c r="B144" i="18"/>
  <c r="D138" i="18"/>
  <c r="D137" i="17"/>
  <c r="B144" i="17"/>
  <c r="D138" i="17"/>
  <c r="D137" i="16"/>
  <c r="D138" i="16"/>
  <c r="B144" i="16"/>
  <c r="D137" i="15"/>
  <c r="B144" i="15"/>
  <c r="D138" i="15"/>
  <c r="B145" i="15"/>
  <c r="F138" i="15"/>
  <c r="F137" i="15"/>
  <c r="B145" i="14"/>
  <c r="F137" i="14"/>
  <c r="F138" i="14"/>
  <c r="D137" i="14"/>
  <c r="B144" i="14"/>
  <c r="D138" i="14"/>
  <c r="C140" i="13"/>
  <c r="D138" i="12"/>
  <c r="F33" i="12"/>
  <c r="B144" i="12" s="1"/>
  <c r="V81" i="7"/>
  <c r="E42" i="7"/>
  <c r="D42" i="7"/>
  <c r="E43" i="7"/>
  <c r="D43" i="7"/>
  <c r="E44" i="7"/>
  <c r="D44" i="7"/>
  <c r="E45" i="7"/>
  <c r="D45" i="7"/>
  <c r="C97" i="9"/>
  <c r="D32" i="7"/>
  <c r="D33" i="7"/>
  <c r="C140" i="25" l="1"/>
  <c r="C141" i="24"/>
  <c r="B143" i="24" s="1"/>
  <c r="C141" i="23"/>
  <c r="B143" i="23" s="1"/>
  <c r="C141" i="22"/>
  <c r="B143" i="22" s="1"/>
  <c r="C140" i="21"/>
  <c r="C141" i="20"/>
  <c r="B143" i="20" s="1"/>
  <c r="C140" i="19"/>
  <c r="C141" i="19" s="1"/>
  <c r="B143" i="19" s="1"/>
  <c r="C140" i="18"/>
  <c r="C140" i="17"/>
  <c r="C141" i="17"/>
  <c r="B143" i="17" s="1"/>
  <c r="C140" i="16"/>
  <c r="C140" i="15"/>
  <c r="C140" i="14"/>
  <c r="C141" i="13"/>
  <c r="B143" i="13" s="1"/>
  <c r="D137" i="12"/>
  <c r="C140" i="12" s="1"/>
  <c r="C141" i="12" s="1"/>
  <c r="B143" i="12" s="1"/>
  <c r="D37" i="7"/>
  <c r="D36" i="7"/>
  <c r="D35" i="7"/>
  <c r="D34" i="7"/>
  <c r="E39" i="7"/>
  <c r="D39" i="7"/>
  <c r="E40" i="7"/>
  <c r="D40" i="7"/>
  <c r="E41" i="7"/>
  <c r="D41" i="7"/>
  <c r="C141" i="25" l="1"/>
  <c r="B143" i="25" s="1"/>
  <c r="C141" i="21"/>
  <c r="B143" i="21"/>
  <c r="C141" i="18"/>
  <c r="B143" i="18" s="1"/>
  <c r="C141" i="16"/>
  <c r="B143" i="16" s="1"/>
  <c r="C141" i="15"/>
  <c r="B143" i="15" s="1"/>
  <c r="C141" i="14"/>
  <c r="B143" i="14" s="1"/>
  <c r="C19" i="9"/>
  <c r="C20" i="9"/>
  <c r="C21" i="9"/>
  <c r="C22" i="9"/>
  <c r="C23" i="9"/>
  <c r="C45" i="9"/>
  <c r="C46" i="9"/>
  <c r="C47" i="9"/>
  <c r="C48" i="9"/>
  <c r="C49" i="9"/>
  <c r="C52" i="9"/>
  <c r="L75" i="9"/>
  <c r="L74" i="9"/>
  <c r="L73" i="9"/>
  <c r="L72" i="9"/>
  <c r="L76" i="9" s="1"/>
  <c r="L71" i="9"/>
  <c r="L77" i="9" s="1"/>
  <c r="L81" i="9" s="1"/>
  <c r="I75" i="9"/>
  <c r="I74" i="9"/>
  <c r="I73" i="9"/>
  <c r="I72" i="9"/>
  <c r="I71" i="9"/>
  <c r="L49" i="9"/>
  <c r="L48" i="9"/>
  <c r="L47" i="9"/>
  <c r="L46" i="9"/>
  <c r="L45" i="9"/>
  <c r="I49" i="9"/>
  <c r="I48" i="9"/>
  <c r="I47" i="9"/>
  <c r="I46" i="9"/>
  <c r="I45" i="9"/>
  <c r="F49" i="9"/>
  <c r="F48" i="9"/>
  <c r="F47" i="9"/>
  <c r="F46" i="9"/>
  <c r="F45" i="9"/>
  <c r="C26" i="9"/>
  <c r="F19" i="9"/>
  <c r="F20" i="9"/>
  <c r="F21" i="9"/>
  <c r="F22" i="9"/>
  <c r="F23" i="9"/>
  <c r="F26" i="9"/>
  <c r="C71" i="9"/>
  <c r="C72" i="9"/>
  <c r="C73" i="9"/>
  <c r="C74" i="9"/>
  <c r="C75" i="9"/>
  <c r="C78" i="9"/>
  <c r="F71" i="9"/>
  <c r="F72" i="9"/>
  <c r="F73" i="9"/>
  <c r="F74" i="9"/>
  <c r="F75" i="9"/>
  <c r="C98" i="9"/>
  <c r="C99" i="9"/>
  <c r="C102" i="9"/>
  <c r="F96" i="9"/>
  <c r="F98" i="9"/>
  <c r="F101" i="9" s="1"/>
  <c r="F105" i="9" s="1"/>
  <c r="F107" i="9" s="1"/>
  <c r="F99" i="9"/>
  <c r="C121" i="9"/>
  <c r="C122" i="9"/>
  <c r="C123" i="9" s="1"/>
  <c r="C126" i="9" s="1"/>
  <c r="C125" i="9"/>
  <c r="F121" i="9"/>
  <c r="F124" i="9" s="1"/>
  <c r="F128" i="9" s="1"/>
  <c r="F122" i="9"/>
  <c r="F123" i="9" s="1"/>
  <c r="L78" i="9"/>
  <c r="I78" i="9"/>
  <c r="F78" i="9"/>
  <c r="L125" i="9"/>
  <c r="L122" i="9"/>
  <c r="L123" i="9" s="1"/>
  <c r="L121" i="9"/>
  <c r="L124" i="9" s="1"/>
  <c r="L128" i="9" s="1"/>
  <c r="I125" i="9"/>
  <c r="I122" i="9"/>
  <c r="I123" i="9" s="1"/>
  <c r="I121" i="9"/>
  <c r="I124" i="9" s="1"/>
  <c r="I128" i="9" s="1"/>
  <c r="F125" i="9"/>
  <c r="L102" i="9"/>
  <c r="L100" i="9"/>
  <c r="L103" i="9" s="1"/>
  <c r="I102" i="9"/>
  <c r="F102" i="9"/>
  <c r="L99" i="9"/>
  <c r="L98" i="9"/>
  <c r="L96" i="9"/>
  <c r="I99" i="9"/>
  <c r="I100" i="9" s="1"/>
  <c r="I98" i="9"/>
  <c r="I101" i="9" s="1"/>
  <c r="I105" i="9" s="1"/>
  <c r="I96" i="9"/>
  <c r="L101" i="9" l="1"/>
  <c r="L105" i="9" s="1"/>
  <c r="L106" i="9" s="1"/>
  <c r="C124" i="9"/>
  <c r="C128" i="9" s="1"/>
  <c r="L79" i="9"/>
  <c r="L80" i="9"/>
  <c r="L83" i="9"/>
  <c r="L82" i="9"/>
  <c r="I77" i="9"/>
  <c r="I81" i="9" s="1"/>
  <c r="I83" i="9" s="1"/>
  <c r="I76" i="9"/>
  <c r="L127" i="9"/>
  <c r="L126" i="9"/>
  <c r="L130" i="9"/>
  <c r="L129" i="9"/>
  <c r="I127" i="9"/>
  <c r="I126" i="9"/>
  <c r="I129" i="9"/>
  <c r="I130" i="9"/>
  <c r="L107" i="9"/>
  <c r="L104" i="9"/>
  <c r="I104" i="9"/>
  <c r="I103" i="9"/>
  <c r="I107" i="9"/>
  <c r="I106" i="9"/>
  <c r="F100" i="9"/>
  <c r="F104" i="9" s="1"/>
  <c r="C50" i="9"/>
  <c r="C54" i="9" s="1"/>
  <c r="C51" i="9"/>
  <c r="C55" i="9" s="1"/>
  <c r="C56" i="9" s="1"/>
  <c r="F24" i="9"/>
  <c r="F27" i="9" s="1"/>
  <c r="F77" i="9"/>
  <c r="F81" i="9" s="1"/>
  <c r="F83" i="9" s="1"/>
  <c r="C76" i="9"/>
  <c r="C79" i="9" s="1"/>
  <c r="C100" i="9"/>
  <c r="C103" i="9" s="1"/>
  <c r="C101" i="9"/>
  <c r="C105" i="9" s="1"/>
  <c r="C106" i="9" s="1"/>
  <c r="C24" i="9"/>
  <c r="C25" i="9"/>
  <c r="C29" i="9" s="1"/>
  <c r="F25" i="9"/>
  <c r="F29" i="9" s="1"/>
  <c r="C77" i="9"/>
  <c r="C81" i="9" s="1"/>
  <c r="C127" i="9"/>
  <c r="F106" i="9"/>
  <c r="F76" i="9"/>
  <c r="F80" i="9" s="1"/>
  <c r="F129" i="9"/>
  <c r="F130" i="9"/>
  <c r="F127" i="9"/>
  <c r="F126" i="9"/>
  <c r="F103" i="9" l="1"/>
  <c r="C129" i="9"/>
  <c r="C130" i="9"/>
  <c r="C27" i="9"/>
  <c r="C28" i="9"/>
  <c r="I82" i="9"/>
  <c r="I80" i="9"/>
  <c r="I79" i="9"/>
  <c r="C107" i="9"/>
  <c r="C53" i="9"/>
  <c r="F28" i="9"/>
  <c r="C57" i="9"/>
  <c r="C80" i="9"/>
  <c r="F82" i="9"/>
  <c r="C104" i="9"/>
  <c r="C30" i="9"/>
  <c r="C31" i="9"/>
  <c r="F30" i="9"/>
  <c r="F31" i="9"/>
  <c r="C82" i="9"/>
  <c r="C83" i="9"/>
  <c r="F79" i="9"/>
  <c r="L52" i="9"/>
  <c r="L51" i="9"/>
  <c r="L55" i="9" s="1"/>
  <c r="L50" i="9"/>
  <c r="L54" i="9" s="1"/>
  <c r="I52" i="9"/>
  <c r="I51" i="9"/>
  <c r="I55" i="9" s="1"/>
  <c r="I57" i="9" s="1"/>
  <c r="I50" i="9"/>
  <c r="F52" i="9"/>
  <c r="F50" i="9"/>
  <c r="F51" i="9"/>
  <c r="F55" i="9" s="1"/>
  <c r="L23" i="9"/>
  <c r="L22" i="9"/>
  <c r="I23" i="9"/>
  <c r="I22" i="9"/>
  <c r="L26" i="9"/>
  <c r="I26" i="9"/>
  <c r="L21" i="9"/>
  <c r="L20" i="9"/>
  <c r="L19" i="9"/>
  <c r="I21" i="9"/>
  <c r="I20" i="9"/>
  <c r="I19" i="9"/>
  <c r="C131" i="9" l="1"/>
  <c r="C108" i="9"/>
  <c r="F110" i="9" s="1"/>
  <c r="L57" i="9"/>
  <c r="L56" i="9"/>
  <c r="L53" i="9"/>
  <c r="C84" i="9"/>
  <c r="F86" i="9" s="1"/>
  <c r="I54" i="9"/>
  <c r="L25" i="9"/>
  <c r="L29" i="9" s="1"/>
  <c r="L31" i="9" s="1"/>
  <c r="L24" i="9"/>
  <c r="L27" i="9" s="1"/>
  <c r="I56" i="9"/>
  <c r="I53" i="9"/>
  <c r="I25" i="9"/>
  <c r="I29" i="9" s="1"/>
  <c r="I31" i="9" s="1"/>
  <c r="I24" i="9"/>
  <c r="I28" i="9" s="1"/>
  <c r="F56" i="9"/>
  <c r="F57" i="9"/>
  <c r="F54" i="9"/>
  <c r="F53" i="9"/>
  <c r="D15" i="7"/>
  <c r="F109" i="9" l="1"/>
  <c r="L28" i="9"/>
  <c r="C58" i="9"/>
  <c r="F60" i="9" s="1"/>
  <c r="L30" i="9"/>
  <c r="I30" i="9"/>
  <c r="I27" i="9"/>
  <c r="B147" i="9" l="1"/>
  <c r="L138" i="9"/>
  <c r="L137" i="9"/>
  <c r="C32" i="9"/>
  <c r="F133" i="9"/>
  <c r="F59" i="9"/>
  <c r="B145" i="9" l="1"/>
  <c r="F137" i="9"/>
  <c r="F138" i="9"/>
  <c r="F132" i="9"/>
  <c r="E34" i="7"/>
  <c r="E35" i="7"/>
  <c r="E36" i="7"/>
  <c r="E37" i="7"/>
  <c r="E38" i="7"/>
  <c r="E31" i="7"/>
  <c r="E30" i="7"/>
  <c r="E33" i="7"/>
  <c r="E32" i="7"/>
  <c r="E22" i="7"/>
  <c r="E21" i="7"/>
  <c r="E20" i="7"/>
  <c r="E50" i="7"/>
  <c r="E49" i="7"/>
  <c r="E48" i="7"/>
  <c r="E47" i="7"/>
  <c r="E19" i="7"/>
  <c r="E18" i="7"/>
  <c r="E17" i="7"/>
  <c r="E16" i="7"/>
  <c r="E15" i="7"/>
  <c r="E13" i="7"/>
  <c r="E12" i="7"/>
  <c r="E11" i="7"/>
  <c r="E10" i="7"/>
  <c r="E9" i="7"/>
  <c r="E8" i="7"/>
  <c r="E7" i="7"/>
  <c r="E6" i="7"/>
  <c r="E5" i="7"/>
  <c r="E4" i="7"/>
  <c r="E3" i="7"/>
  <c r="D38" i="7"/>
  <c r="D31" i="7"/>
  <c r="D30" i="7"/>
  <c r="D22" i="7"/>
  <c r="D21" i="7"/>
  <c r="D20" i="7"/>
  <c r="D50" i="7"/>
  <c r="D49" i="7"/>
  <c r="D48" i="7"/>
  <c r="D47" i="7"/>
  <c r="D19" i="7"/>
  <c r="D18" i="7"/>
  <c r="D17" i="7"/>
  <c r="D16" i="7"/>
  <c r="D13" i="7"/>
  <c r="D12" i="7"/>
  <c r="D11" i="7"/>
  <c r="D10" i="7"/>
  <c r="D9" i="7"/>
  <c r="D8" i="7"/>
  <c r="D7" i="7"/>
  <c r="D6" i="7"/>
  <c r="D5" i="7"/>
  <c r="D4" i="7"/>
  <c r="D3" i="7"/>
  <c r="B148" i="9" l="1"/>
  <c r="O137" i="9"/>
  <c r="O138" i="9"/>
  <c r="F34" i="9"/>
  <c r="F33" i="9" l="1"/>
  <c r="B144" i="9" s="1"/>
  <c r="F85" i="9"/>
  <c r="B146" i="9" l="1"/>
  <c r="I138" i="9"/>
  <c r="I137" i="9"/>
  <c r="D138" i="9"/>
  <c r="D137" i="9"/>
  <c r="C140" i="9" l="1"/>
  <c r="C141" i="9" s="1"/>
  <c r="B143" i="9" s="1"/>
</calcChain>
</file>

<file path=xl/sharedStrings.xml><?xml version="1.0" encoding="utf-8"?>
<sst xmlns="http://schemas.openxmlformats.org/spreadsheetml/2006/main" count="5701" uniqueCount="151">
  <si>
    <t>kg/m</t>
  </si>
  <si>
    <t>daN</t>
  </si>
  <si>
    <t>m</t>
  </si>
  <si>
    <t>Vão</t>
  </si>
  <si>
    <t>Flecha</t>
  </si>
  <si>
    <t>°</t>
  </si>
  <si>
    <t>Diâmetro do cabo</t>
  </si>
  <si>
    <t>Pressão do vento por unidade de área</t>
  </si>
  <si>
    <t>daN/m2</t>
  </si>
  <si>
    <t>Altura ancoragem</t>
  </si>
  <si>
    <t>Altura poste</t>
  </si>
  <si>
    <t>Tração dos condutores</t>
  </si>
  <si>
    <t>16 mm² - Tetrapolar</t>
  </si>
  <si>
    <t>16 mm² - Bipolar</t>
  </si>
  <si>
    <t>Diâmetros</t>
  </si>
  <si>
    <t>Qtd fios</t>
  </si>
  <si>
    <t>Mín</t>
  </si>
  <si>
    <t>Máx</t>
  </si>
  <si>
    <t>Peso Total</t>
  </si>
  <si>
    <t>Diâmetro Total</t>
  </si>
  <si>
    <t>T1</t>
  </si>
  <si>
    <t>T2</t>
  </si>
  <si>
    <t>T3</t>
  </si>
  <si>
    <t>556MCM-CA, Nu</t>
  </si>
  <si>
    <t>397MCM-CA, Nu</t>
  </si>
  <si>
    <t>1/0AWG-CAA, Nu</t>
  </si>
  <si>
    <t>4 AWG-CAA, Nu</t>
  </si>
  <si>
    <t xml:space="preserve">240mm², MTX-BT </t>
  </si>
  <si>
    <t xml:space="preserve">185mm², MTX-BT </t>
  </si>
  <si>
    <t xml:space="preserve">70mm², MTX-BT </t>
  </si>
  <si>
    <t xml:space="preserve">4/0-AWG, MTX-BT </t>
  </si>
  <si>
    <t xml:space="preserve">3/0-AWG, MTX-BT </t>
  </si>
  <si>
    <t xml:space="preserve">1/0-AWG, MTX-BT </t>
  </si>
  <si>
    <t xml:space="preserve">4-AWG, MTX-BT </t>
  </si>
  <si>
    <t xml:space="preserve">Cabo armado 240mm² </t>
  </si>
  <si>
    <t xml:space="preserve">Cabo armado 95mm² </t>
  </si>
  <si>
    <t xml:space="preserve">Cordoalha de aço 3/8” </t>
  </si>
  <si>
    <t>CONDUTOR</t>
  </si>
  <si>
    <t>BT</t>
  </si>
  <si>
    <t>T4</t>
  </si>
  <si>
    <t>MT - 1º Nível</t>
  </si>
  <si>
    <t>MT - 2º Nível</t>
  </si>
  <si>
    <t>10 mm² - Bipolar</t>
  </si>
  <si>
    <t>10 mm² - Tetrapolar</t>
  </si>
  <si>
    <t>50mm², MTX-MT, 12/20 kV</t>
  </si>
  <si>
    <t>185mm², MTX-MT, 12/20 kV</t>
  </si>
  <si>
    <t>185mm², MTX-MT, 20/35 kV</t>
  </si>
  <si>
    <t>4-AWG, MTX-BT</t>
  </si>
  <si>
    <t>6-AWG, MTX-BT  - Duplex</t>
  </si>
  <si>
    <t>6-AWG, MTX-BT  - Triplex</t>
  </si>
  <si>
    <t>6-AWG, MTX-BT  - Quadriplex</t>
  </si>
  <si>
    <t>DIÂMETRO EXTERNO (m)</t>
  </si>
  <si>
    <t>PESO (Kg/m)</t>
  </si>
  <si>
    <t>Tipo de cabo</t>
  </si>
  <si>
    <t>Peso do cabo</t>
  </si>
  <si>
    <t>Quantidade de cabos</t>
  </si>
  <si>
    <t>Compx</t>
  </si>
  <si>
    <t>Compy</t>
  </si>
  <si>
    <t>Resultante - 1º Nível</t>
  </si>
  <si>
    <t>Ângulo</t>
  </si>
  <si>
    <t>Resultante - BT</t>
  </si>
  <si>
    <t>CABOS (QTD)</t>
  </si>
  <si>
    <t>397MCM-CA, XLPE, 34,5 kV</t>
  </si>
  <si>
    <t>397MCM-CA, XLPE, 13,8 kV</t>
  </si>
  <si>
    <t>1/0AWG-CAA, XLPE, 13,8 kV</t>
  </si>
  <si>
    <t>4 AWG-CAA, XLPE, 13,8 kV</t>
  </si>
  <si>
    <t>Tipo de rede</t>
  </si>
  <si>
    <t>Convencional</t>
  </si>
  <si>
    <t>Compacta</t>
  </si>
  <si>
    <t xml:space="preserve">Aberta </t>
  </si>
  <si>
    <t>Multiplexada</t>
  </si>
  <si>
    <t>Peso do mensageiro</t>
  </si>
  <si>
    <t>Diâmetro do mensageiro</t>
  </si>
  <si>
    <t>Armado</t>
  </si>
  <si>
    <t>397MCM-CA, PVC</t>
  </si>
  <si>
    <t xml:space="preserve">1/0AWG-CAA, PVC </t>
  </si>
  <si>
    <t>Multiplexado</t>
  </si>
  <si>
    <t>Rede</t>
  </si>
  <si>
    <t>Cabo</t>
  </si>
  <si>
    <t>Força do vento nos condutores - X</t>
  </si>
  <si>
    <t>Força do vento nos condutores - Y</t>
  </si>
  <si>
    <t>Resultante - 2º Nível</t>
  </si>
  <si>
    <t>Ramais BTZero</t>
  </si>
  <si>
    <t>Quantidade de ligações (*)</t>
  </si>
  <si>
    <t>RESULTANTE - TOTAL</t>
  </si>
  <si>
    <t>Tração
MT - 1º Nível 
(100 mm do topo)</t>
  </si>
  <si>
    <t>Tração
MT - 2º Nível 
(100 mm do topo)</t>
  </si>
  <si>
    <t>Tração
BT      
(100 mm do topo)</t>
  </si>
  <si>
    <t>Tração
Ramais BTZero
(100 mm do topo)</t>
  </si>
  <si>
    <t>(*) - Considerar:</t>
  </si>
  <si>
    <t>Ramais de ligação</t>
  </si>
  <si>
    <t>Tração
Ramais de ligação
(100 mm do topo)</t>
  </si>
  <si>
    <t>Total</t>
  </si>
  <si>
    <t>MT 1</t>
  </si>
  <si>
    <t>MT 2</t>
  </si>
  <si>
    <t>RAMAL</t>
  </si>
  <si>
    <t>RAMAL BT ZERO</t>
  </si>
  <si>
    <t>monofásico = 1 ligação trifásico = 3 ligações</t>
  </si>
  <si>
    <t xml:space="preserve">Cabo armado 50mm² </t>
  </si>
  <si>
    <t xml:space="preserve">Cabo armado 25mm² </t>
  </si>
  <si>
    <t>Força do Vento no poste</t>
  </si>
  <si>
    <t>Concreto circular</t>
  </si>
  <si>
    <t>altura</t>
  </si>
  <si>
    <t>Fibra de vidro circular</t>
  </si>
  <si>
    <t>Concreto Duplo T</t>
  </si>
  <si>
    <t>Força</t>
  </si>
  <si>
    <t>sp</t>
  </si>
  <si>
    <t>g</t>
  </si>
  <si>
    <t>Tipo do Poste</t>
  </si>
  <si>
    <t>Modelo do Poste</t>
  </si>
  <si>
    <t>9 m / 150 daN</t>
  </si>
  <si>
    <t>9 m / 300 daN</t>
  </si>
  <si>
    <t>11 m / 300 daN</t>
  </si>
  <si>
    <t>11 m / 600 daN</t>
  </si>
  <si>
    <t>11 m / 1000 daN</t>
  </si>
  <si>
    <t>11 m / 1500 daN</t>
  </si>
  <si>
    <t>12 m / 300 daN</t>
  </si>
  <si>
    <t>12 m / 600 daN</t>
  </si>
  <si>
    <t>12 m / 1000 daN</t>
  </si>
  <si>
    <t>12 m / 200 daN</t>
  </si>
  <si>
    <t>15 m / 1000 daN</t>
  </si>
  <si>
    <t>18 m / 1000 daN</t>
  </si>
  <si>
    <t>Concreto duplo T</t>
  </si>
  <si>
    <t>12 m / 2000 daN</t>
  </si>
  <si>
    <t>Metálico</t>
  </si>
  <si>
    <t>7,5 m / 200 daN</t>
  </si>
  <si>
    <t>Órgão:</t>
  </si>
  <si>
    <t>Projeto:</t>
  </si>
  <si>
    <t>Ponto:</t>
  </si>
  <si>
    <t>Endereço:</t>
  </si>
  <si>
    <t>Estudado por:</t>
  </si>
  <si>
    <t>Matricula:</t>
  </si>
  <si>
    <t>Data:</t>
  </si>
  <si>
    <t>N.S.:</t>
  </si>
  <si>
    <t>OMET</t>
  </si>
  <si>
    <t>08</t>
  </si>
  <si>
    <t>01</t>
  </si>
  <si>
    <t>PR18 - LDA GUARAJUBA</t>
  </si>
  <si>
    <t>02</t>
  </si>
  <si>
    <t>15</t>
  </si>
  <si>
    <t>13</t>
  </si>
  <si>
    <t>10</t>
  </si>
  <si>
    <t>06</t>
  </si>
  <si>
    <t>05</t>
  </si>
  <si>
    <t>04</t>
  </si>
  <si>
    <t>03</t>
  </si>
  <si>
    <t>18</t>
  </si>
  <si>
    <t>17</t>
  </si>
  <si>
    <t>21</t>
  </si>
  <si>
    <t>23</t>
  </si>
  <si>
    <t>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</si>
</sst>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20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2" borderId="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/>
    <xf numFmtId="0" fontId="0" fillId="2" borderId="5" xfId="0" applyFill="1" applyBorder="1" applyAlignment="1">
      <alignment horizontal="left"/>
    </xf>
    <xf numFmtId="0" fontId="0" fillId="2" borderId="5" xfId="0" applyFill="1" applyBorder="1"/>
    <xf numFmtId="0" fontId="0" fillId="2" borderId="0" xfId="0" applyFill="1" applyAlignment="1">
      <alignment horizontal="left"/>
    </xf>
    <xf numFmtId="0" fontId="0" fillId="2" borderId="6" xfId="0" applyFill="1" applyBorder="1" applyAlignment="1">
      <alignment horizontal="left"/>
    </xf>
    <xf numFmtId="0" fontId="0" fillId="2" borderId="7" xfId="0" applyFill="1" applyBorder="1"/>
    <xf numFmtId="0" fontId="0" fillId="2" borderId="1" xfId="0" applyFill="1" applyBorder="1"/>
    <xf numFmtId="0" fontId="0" fillId="2" borderId="8" xfId="0" applyFill="1" applyBorder="1"/>
    <xf numFmtId="164" fontId="0" fillId="2" borderId="0" xfId="0" applyNumberFormat="1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2" borderId="0" xfId="0" applyNumberFormat="1" applyFill="1"/>
    <xf numFmtId="1" fontId="1" fillId="2" borderId="0" xfId="0" applyNumberFormat="1" applyFont="1" applyFill="1"/>
    <xf numFmtId="2" fontId="1" fillId="2" borderId="0" xfId="0" applyNumberFormat="1" applyFont="1" applyFill="1"/>
    <xf numFmtId="2" fontId="0" fillId="2" borderId="6" xfId="0" applyNumberFormat="1" applyFill="1" applyBorder="1"/>
    <xf numFmtId="2" fontId="0" fillId="2" borderId="0" xfId="0" applyNumberFormat="1" applyFill="1" applyAlignment="1" applyProtection="1">
      <alignment horizontal="right"/>
      <protection locked="0" hidden="1"/>
    </xf>
    <xf numFmtId="0" fontId="0" fillId="3" borderId="0" xfId="0" applyFill="1"/>
    <xf numFmtId="0" fontId="0" fillId="3" borderId="0" xfId="0" applyFill="1" applyAlignment="1">
      <alignment horizontal="right"/>
    </xf>
    <xf numFmtId="1" fontId="5" fillId="2" borderId="0" xfId="0" applyNumberFormat="1" applyFont="1" applyFill="1"/>
    <xf numFmtId="2" fontId="5" fillId="2" borderId="0" xfId="0" applyNumberFormat="1" applyFont="1" applyFill="1"/>
    <xf numFmtId="0" fontId="0" fillId="2" borderId="7" xfId="0" applyFill="1" applyBorder="1" applyAlignment="1">
      <alignment wrapText="1"/>
    </xf>
    <xf numFmtId="0" fontId="4" fillId="2" borderId="0" xfId="0" applyFont="1" applyFill="1" applyAlignment="1">
      <alignment horizontal="center" vertical="center" wrapText="1"/>
    </xf>
    <xf numFmtId="0" fontId="3" fillId="2" borderId="0" xfId="0" applyFont="1" applyFill="1"/>
    <xf numFmtId="1" fontId="7" fillId="2" borderId="0" xfId="0" applyNumberFormat="1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3" fillId="2" borderId="1" xfId="0" applyFont="1" applyFill="1" applyBorder="1"/>
    <xf numFmtId="1" fontId="7" fillId="2" borderId="1" xfId="0" applyNumberFormat="1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vertical="center"/>
    </xf>
    <xf numFmtId="164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0" fontId="2" fillId="0" borderId="0" xfId="0" applyFont="1"/>
    <xf numFmtId="0" fontId="0" fillId="0" borderId="0" xfId="0" applyAlignment="1">
      <alignment vertical="center"/>
    </xf>
    <xf numFmtId="0" fontId="5" fillId="2" borderId="0" xfId="0" applyFont="1" applyFill="1"/>
    <xf numFmtId="0" fontId="10" fillId="2" borderId="0" xfId="1" applyFont="1" applyFill="1" applyAlignment="1">
      <alignment horizontal="right" vertical="center" wrapText="1" indent="1"/>
    </xf>
    <xf numFmtId="0" fontId="12" fillId="4" borderId="0" xfId="0" applyFont="1" applyFill="1" applyAlignment="1">
      <alignment horizontal="center" vertical="center"/>
    </xf>
    <xf numFmtId="0" fontId="11" fillId="2" borderId="0" xfId="1" applyFont="1" applyFill="1" applyAlignment="1">
      <alignment horizontal="right" vertical="center" wrapText="1"/>
    </xf>
    <xf numFmtId="0" fontId="11" fillId="2" borderId="0" xfId="1" applyFont="1" applyFill="1" applyAlignment="1">
      <alignment horizontal="right" vertical="center"/>
    </xf>
    <xf numFmtId="0" fontId="12" fillId="2" borderId="0" xfId="0" applyFont="1" applyFill="1" applyAlignment="1">
      <alignment horizontal="right"/>
    </xf>
    <xf numFmtId="49" fontId="12" fillId="4" borderId="0" xfId="0" applyNumberFormat="1" applyFont="1" applyFill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3" fillId="4" borderId="0" xfId="1" applyFont="1" applyFill="1" applyAlignment="1" applyProtection="1">
      <alignment horizontal="left" vertical="center"/>
      <protection hidden="1"/>
    </xf>
    <xf numFmtId="0" fontId="13" fillId="4" borderId="0" xfId="1" applyFont="1" applyFill="1" applyAlignment="1" applyProtection="1">
      <alignment horizontal="left" vertical="center" wrapText="1"/>
      <protection hidden="1"/>
    </xf>
    <xf numFmtId="0" fontId="0" fillId="3" borderId="0" xfId="0" applyFill="1" applyAlignment="1">
      <alignment horizontal="center"/>
    </xf>
    <xf numFmtId="0" fontId="13" fillId="4" borderId="0" xfId="1" applyFont="1" applyFill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left" vertical="center" wrapText="1"/>
    </xf>
    <xf numFmtId="0" fontId="0" fillId="2" borderId="8" xfId="0" applyFill="1" applyBorder="1" applyAlignment="1">
      <alignment horizontal="left" vertical="center" wrapText="1"/>
    </xf>
  </cellXfs>
  <cellStyles count="2">
    <cellStyle name="Normal" xfId="0" builtinId="0"/>
    <cellStyle name="Normal_Plan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18523" y="207064"/>
          <a:ext cx="4902476" cy="414132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cs typeface="Calibri"/>
            </a:rPr>
            <a:pPr algn="ctr"/>
            <a:t>TRAÇÃO TOTAL: 384 daN 0°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7" name="Conector ret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442706" y="2790824"/>
          <a:ext cx="5065229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l"/>
            <a:t>TRAÇÃO MT 1° NÍVEL (100 mm do topo): 366 daN 0°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13" name="Retângul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437736" y="5610224"/>
          <a:ext cx="5078480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14" name="Retângul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424485" y="8355081"/>
          <a:ext cx="5100015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5" name="Retângul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52645" y="10917719"/>
          <a:ext cx="5121551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455958" y="13695706"/>
          <a:ext cx="5143085" cy="428625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9829800" y="163997"/>
          <a:ext cx="919369" cy="472109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2FEA22CE-9BF1-4CCD-968E-0926DE8E504F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406 daN 67°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6E00A6A7-2694-414A-937B-A295F55B6D6E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38556650-4C41-FDE3-05E6-55D30F2EF4E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9E835D9A-5E3F-84D9-3B8B-85AB93EA2BF9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357EBACC-48FB-D7B0-7EE2-256A67BA05D5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6FFA5C2F-CC6A-41C1-B22E-D9661F57CD0D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387 daN 67°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09116A24-88A4-47A0-BF46-4B2855B4025E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12B81E37-65A8-4189-BF1D-916D9241459E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E5F7F0F7-3074-49D6-A26F-AEBBBC628C01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DE056867-90A6-487E-8D63-EDEA36D4E01B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1CF34512-5BDE-4A69-9ECB-F9049E3604DB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EC95A0EC-7D26-4EAF-8B22-008576745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0732AFA7-C4CE-4B0F-B0E9-F737FEF18C10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992 daN 160°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D2F90D93-F36F-48CC-B5CC-E2337F81D5C8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7504E94B-FA6A-EAE0-0AAA-A3A6F4AB98F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39378AF7-435A-21DC-41D5-165BD2CBA664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F42198B0-BAFD-E14A-5BAC-A84F964C2892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852E17D5-6F7A-4CA7-B3DB-5886B63BB666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973 daN 160°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4062D1B8-9DD6-4568-B9BA-054FEDE2BEE8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DF2FC326-A909-4B34-BEF3-E797EFA5ED9F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5D0301C6-090F-4009-97D8-CF2BF0EC14C2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74959A39-A1DF-4890-8498-29109F47F3EF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FE6B05F3-441B-4378-AAB1-F96CE72F4B75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2A6ADB5C-86E3-4B8C-AA8E-243EA3EDF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52629E32-2969-4EEF-B97C-009D3F05D9F8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672 daN 164°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4D262C15-494E-42B3-B1A8-3EE8DC9425CB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43E3BB9F-3082-7C50-C8E3-22E9F9AC103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06CE7FCC-CBFF-4E33-2CC3-CF03DA65B4B3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45EF048A-F92B-C175-7E7D-298C25BB28DA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AC359BB0-8545-4ED6-B6ED-F366DB46F405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627 daN 180°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9F4D5F28-96D5-4465-8D5F-B08B388FEBD0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183 daN 90°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58A1DAC2-BF33-4958-A600-C9CAD6EA67BE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02B88F40-7C18-4943-855B-B291944EBD14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0945A711-17F7-458B-A4DB-7F1DCDBD7777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D8A078EF-BDA9-466A-800C-AFAB705A9704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7EC387AF-2D69-408C-AD3B-A3CEB12F8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B923DBD7-8A4E-421D-83A4-367701A67C3B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56 daN 180°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A0F168AE-2C84-45CF-B18A-DCEF93EF03BF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81A24E55-8B08-FCD0-D1DC-681A6207BA1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5BC0AB8C-941A-0539-500D-700F43344F3F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4CFCECDF-3E87-37D1-8436-6C13CD209157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1613F897-DD48-41AB-813E-A8BF2F8F1D60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38 daN 180°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4A085B4B-AD8F-44F8-AA8C-29F71D946F66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D60749C8-2D3B-4799-9495-B160F2E347A7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5CBA1911-79CF-4CA5-9EA4-40AA41552494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B88CFF18-BA5C-4D73-B739-F26EB71ADBE6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F6AA5C01-429F-43F6-B489-7A4FDE96E664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713C04B2-0011-411E-8CB7-67D332096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68CC4C11-8F38-4E44-AFE1-1858C78E6D4F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56 daN 0°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DFFA0DF0-C376-4C79-9CF7-D5CB4F9AE049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3978C9CB-2FE5-9979-4541-D5398DE1A0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D423891B-01BA-55F7-E6B8-0E46F841181C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536A6C14-77A9-235C-40C1-2DCBB071AFFA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F7E6CD22-DABD-4B1D-A406-F7C044F49546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37 daN 0°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DF787264-5666-433B-9D18-871BC5FF600B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C51E1021-3DBD-4A19-AFBE-EBAE9E4AFA44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9D7E5974-660F-482E-A22A-565C949A0C36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E603566F-E315-4741-8707-4FFEA3A88CE7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FD437D62-D175-4F06-8DE1-1D0DC3454415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39D0E3C-6E1A-4B8E-95D4-170C84080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37AD1F09-7D16-48CF-A417-20EB5800E442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96 daN 87°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5D510761-5270-40BB-9081-090BDF06E48E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A2651D3C-415B-206F-0F51-80BE50ECBBE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6449DC5C-417F-6768-7E97-AFD3AF23AAAC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5C8370B2-E673-E41C-E918-DD6ADF25F5CC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A3CD3DF6-5745-41D3-B8FB-AEEEAF3758A5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78 daN 87°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0BE95751-5F15-46C0-B654-9C9724FB31E0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1F33D3CC-54E3-43BB-A68C-B11BA8044E2C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8ABF5B3B-1109-4DEF-A68D-C7D389EC48E3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4AE732E7-6367-4DF0-B056-346FDE9F16D5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265CBD43-5CD6-4D03-B0E8-81604CA7246A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81BAE62-87BE-46A9-BBB3-88886BB85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794EAF8C-F105-4B69-AA04-82FF47630BC0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290 daN 129°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60028FA9-ABEC-4AAC-8F3E-EE07B30BB4BC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1349D991-53F4-41F7-11E5-4B6C45B8BF3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279C3853-5611-F114-4DE7-D62735A64886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2D9A3665-7648-EB2A-9E61-700F4775F05B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DB9C74F4-47A3-4446-B45F-05047594CF37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272 daN 129°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A2E5D339-871A-4AE5-86F3-6105356247C2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60220B71-814C-43D9-9728-A038FADEB4D4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68704DE5-E376-4F1A-9403-912DAC0D6E79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391DC2AB-43F4-431A-8F27-F569721DB46A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16F217B7-3013-4259-82AE-7F57C13C7DFF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E09FBB4-898F-409F-96B9-B5E1307F8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C45FA207-0722-4BC8-8E1F-3A6CCD0FB984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709 daN 168°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BF55E262-70AB-470B-A7F9-39840F815729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1C7EA1-23D5-78C7-1D5C-6FB5E6FB2BA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653F7944-75E2-5CA3-9B8F-422A7DCCF42B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D42BABEA-EB4F-4AE8-F499-776922DE3E99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84BD1055-297A-44AE-AE1B-567888C5DEB2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691 daN 168°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693DA225-0610-442E-993C-F06D4B684BA4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395260B8-C55D-466E-A8D1-2FFFAC73065D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1F9E113D-5DE9-4F62-ADBE-4AABCDFED72C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EE627AE1-FE3A-4906-9162-AF68E62F1EF7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66BC1230-24C6-4E77-9558-CA09A07EA2B1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5883A7A9-C4EA-465A-ABD7-4E88777F5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FCD8AE04-96BD-494F-A74B-FEDF1C41B315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475 daN 180°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0A91337D-BCC4-4A03-9196-962A1C09C078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948D3F8C-0A0A-8403-6781-21B0ECE3042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99F4FAB3-252B-278A-7FCD-6B52FFD77B42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559916A9-05DF-A8F9-D631-F67D118CE42D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B6012411-8CD0-42AF-A9E1-CAD719AB3345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456 daN 180°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76060C08-0C40-4FCE-8AAD-AEF2D6ADC83F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985502FA-7F04-4443-B06E-E24B328D1AD2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EE358CF4-3EC8-4591-B97F-F3E0B018F8DC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6F04C957-C1F3-4883-A870-5FEB9749A2C9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DF53607A-CC8D-4FE3-94B9-429247564DCF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E606C189-77D1-4743-9670-5718071E12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7610A61B-49B6-4AF0-8185-134AAAA92E5D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57 daN 19°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E7B181EE-36B9-4724-BE2F-8DD299E7F85F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90139586-092E-6789-0265-2F638F86EC1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FE6A8778-1610-099A-AC85-82FABBC19EF9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A9BC7E81-D78A-C331-99FE-C0302DA26F41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248721F5-6AFE-41D1-B34E-302B2F77A81E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38 daN 19°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AAE4A04A-269F-4812-B1A6-9C9634823AB7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B16F344B-DCC6-4C2B-BE99-3A681A9E88E4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036BEBA5-E999-453E-A8C0-B57BC4EE3819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CCFBAA3B-C3F2-4C92-BF20-FC8571F809F9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F994C065-1C43-4D18-9C2C-7AFC40D73B66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FC57118E-6D86-4EC0-AEB5-79BBBF1C8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920E4832-5226-463B-B539-2529C34F9CAE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564 daN 32°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340E87F6-1254-4CC6-B5CE-EB83C18B639B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5AC7AC62-70D5-FF79-29C3-F58FFBD9E9D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0917AB26-835A-1276-83EB-B25ED0552A0A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727B6B76-4393-2273-CEF5-EF1C5E710DE1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9A76BA33-783E-4DB9-BC67-F7FFA0C14133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546 daN 32°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202DE68B-9488-4841-8E70-04286226AE70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159312BF-45F8-409A-9FC8-70AC0AD0D247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07F76EC5-AE78-46A8-9D5A-FC69D8AF159C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A3C72D5B-ED07-4FA4-A40C-D3F6E022F024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CB6D243F-A33E-4219-8F5D-8B36DD4BB883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CEEE08D-5AFF-4C08-BE47-CE7904B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35394A7C-DE2B-4415-84E6-5B2534715B35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63 daN 144°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D898CB20-2AC1-410D-B9DD-315F4342EE43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DBF8387B-F8A5-58BF-42B5-DE1AB5B7E43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6C324925-3C5D-65FA-2149-FDD23BF02C97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8BADE172-AE44-D38F-1264-3F2EB57BE42E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80ED19B6-3CD5-4C60-9A15-E2246655100B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44 daN 144°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5FFB8DE6-3587-4C7A-9301-C44D1A29DA0D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C12C02A0-9054-4448-8FC2-A1586E1A6404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4667156A-FA78-4AB4-843F-1E75FDC862CA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F50DC479-8B5A-4A03-BDCE-842BF0E5B6CC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CE7F2874-4CDB-493D-A12B-F4D9953031CE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21AF3340-FF2A-48E2-A646-C532AF8D7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F529E22C-FE5F-4759-BD58-EA33A5EB8D8C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18 daN 0°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0EC44003-5545-4ACD-B2C2-28B03DB3C498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7C64FBAA-A671-F025-2C12-468D7F507FA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AA9C4F82-3353-15C4-27E9-C5AF7C5AB75D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52785E7E-0A61-4617-BF2E-77A49AEBB4C0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5DC246A0-B055-4A2C-AA1D-F41E0D9782C3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0 daN 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4804B481-F361-479A-B62E-40AE370F7684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B679E485-8399-4D9E-998B-4F72A89AE96A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307F0CA0-17DB-4C23-BA12-99372DFB651F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F9C24370-EAFB-4C0D-B281-59F1A41DE855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9086CB28-849C-44D7-B5D5-521A10DC79C6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7456EBD5-E13B-40D5-ACF9-F88FC15FF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16566</xdr:colOff>
      <xdr:row>3</xdr:row>
      <xdr:rowOff>207064</xdr:rowOff>
    </xdr:from>
    <xdr:to>
      <xdr:col>9</xdr:col>
      <xdr:colOff>479564</xdr:colOff>
      <xdr:row>5</xdr:row>
      <xdr:rowOff>91109</xdr:rowOff>
    </xdr:to>
    <xdr:sp macro="" textlink="$B$143">
      <xdr:nvSpPr>
        <xdr:cNvPr id="2" name="Retângulo 1">
          <a:extLst>
            <a:ext uri="{FF2B5EF4-FFF2-40B4-BE49-F238E27FC236}">
              <a16:creationId xmlns:a16="http://schemas.microsoft.com/office/drawing/2014/main" id="{48C43BEA-5CCA-48F8-A100-CF7DC2478370}"/>
            </a:ext>
          </a:extLst>
        </xdr:cNvPr>
        <xdr:cNvSpPr/>
      </xdr:nvSpPr>
      <xdr:spPr>
        <a:xfrm>
          <a:off x="2054916" y="864289"/>
          <a:ext cx="4911173" cy="41744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61ED5E6-13C2-45D5-BCB6-676DFC6FDA0C}" type="TxLink">
            <a:rPr lang="en-US" sz="24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ctr"/>
            <a:t>TRAÇÃO TOTAL: 18 daN 0°</a:t>
          </a:fld>
          <a:endParaRPr lang="pt-BR" sz="2400" b="1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14</xdr:col>
      <xdr:colOff>522634</xdr:colOff>
      <xdr:row>9</xdr:row>
      <xdr:rowOff>76867</xdr:rowOff>
    </xdr:from>
    <xdr:to>
      <xdr:col>16</xdr:col>
      <xdr:colOff>1085853</xdr:colOff>
      <xdr:row>35</xdr:row>
      <xdr:rowOff>141642</xdr:rowOff>
    </xdr:to>
    <xdr:grpSp>
      <xdr:nvGrpSpPr>
        <xdr:cNvPr id="3" name="Grupo 9">
          <a:extLst>
            <a:ext uri="{FF2B5EF4-FFF2-40B4-BE49-F238E27FC236}">
              <a16:creationId xmlns:a16="http://schemas.microsoft.com/office/drawing/2014/main" id="{AB88A1BE-7252-4747-88E9-7E94C21229CA}"/>
            </a:ext>
          </a:extLst>
        </xdr:cNvPr>
        <xdr:cNvGrpSpPr/>
      </xdr:nvGrpSpPr>
      <xdr:grpSpPr>
        <a:xfrm>
          <a:off x="10001914" y="2073307"/>
          <a:ext cx="3009239" cy="2754635"/>
          <a:chOff x="10600206" y="4449798"/>
          <a:chExt cx="2943721" cy="2828938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74067165-E16F-4D58-6FCF-35CF3A5AD3B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3824" r="6519" b="1842"/>
          <a:stretch/>
        </xdr:blipFill>
        <xdr:spPr>
          <a:xfrm>
            <a:off x="10600206" y="4449798"/>
            <a:ext cx="2943721" cy="2828938"/>
          </a:xfrm>
          <a:prstGeom prst="rect">
            <a:avLst/>
          </a:prstGeom>
        </xdr:spPr>
      </xdr:pic>
      <xdr:cxnSp macro="">
        <xdr:nvCxnSpPr>
          <xdr:cNvPr id="5" name="Conector reto 4">
            <a:extLst>
              <a:ext uri="{FF2B5EF4-FFF2-40B4-BE49-F238E27FC236}">
                <a16:creationId xmlns:a16="http://schemas.microsoft.com/office/drawing/2014/main" id="{AD83BB84-19D0-3440-8E32-D5ECDBCFF997}"/>
              </a:ext>
            </a:extLst>
          </xdr:cNvPr>
          <xdr:cNvCxnSpPr/>
        </xdr:nvCxnSpPr>
        <xdr:spPr>
          <a:xfrm>
            <a:off x="12070404" y="4786820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Conector reto 5">
            <a:extLst>
              <a:ext uri="{FF2B5EF4-FFF2-40B4-BE49-F238E27FC236}">
                <a16:creationId xmlns:a16="http://schemas.microsoft.com/office/drawing/2014/main" id="{0654A62A-E509-C550-F107-428D406E8444}"/>
              </a:ext>
            </a:extLst>
          </xdr:cNvPr>
          <xdr:cNvCxnSpPr/>
        </xdr:nvCxnSpPr>
        <xdr:spPr>
          <a:xfrm rot="5400000">
            <a:off x="12068783" y="4777093"/>
            <a:ext cx="0" cy="2144139"/>
          </a:xfrm>
          <a:prstGeom prst="line">
            <a:avLst/>
          </a:prstGeom>
          <a:ln w="127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86554</xdr:colOff>
      <xdr:row>32</xdr:row>
      <xdr:rowOff>256346</xdr:rowOff>
    </xdr:from>
    <xdr:to>
      <xdr:col>6</xdr:col>
      <xdr:colOff>463826</xdr:colOff>
      <xdr:row>33</xdr:row>
      <xdr:rowOff>287406</xdr:rowOff>
    </xdr:to>
    <xdr:sp macro="" textlink="$B$144">
      <xdr:nvSpPr>
        <xdr:cNvPr id="7" name="Retângulo 6">
          <a:extLst>
            <a:ext uri="{FF2B5EF4-FFF2-40B4-BE49-F238E27FC236}">
              <a16:creationId xmlns:a16="http://schemas.microsoft.com/office/drawing/2014/main" id="{63705776-033F-4C12-9B9F-E74E76D735D3}"/>
            </a:ext>
          </a:extLst>
        </xdr:cNvPr>
        <xdr:cNvSpPr/>
      </xdr:nvSpPr>
      <xdr:spPr>
        <a:xfrm>
          <a:off x="438979" y="4037771"/>
          <a:ext cx="4711147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58DA354-F889-471D-978E-53EC895381B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Calibri"/>
              <a:cs typeface="Calibri"/>
            </a:rPr>
            <a:pPr algn="l"/>
            <a:t>TRAÇÃO MT 1° NÍVEL (100 mm do topo): 0 daN °</a:t>
          </a:fld>
          <a:endParaRPr lang="pt-BR" sz="2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</xdr:col>
      <xdr:colOff>81584</xdr:colOff>
      <xdr:row>58</xdr:row>
      <xdr:rowOff>317637</xdr:rowOff>
    </xdr:from>
    <xdr:to>
      <xdr:col>6</xdr:col>
      <xdr:colOff>472107</xdr:colOff>
      <xdr:row>59</xdr:row>
      <xdr:rowOff>348697</xdr:rowOff>
    </xdr:to>
    <xdr:sp macro="" textlink="$B$145">
      <xdr:nvSpPr>
        <xdr:cNvPr id="8" name="Retângulo 7">
          <a:extLst>
            <a:ext uri="{FF2B5EF4-FFF2-40B4-BE49-F238E27FC236}">
              <a16:creationId xmlns:a16="http://schemas.microsoft.com/office/drawing/2014/main" id="{03895205-BB93-4CC3-B519-85E0775AB3AF}"/>
            </a:ext>
          </a:extLst>
        </xdr:cNvPr>
        <xdr:cNvSpPr/>
      </xdr:nvSpPr>
      <xdr:spPr>
        <a:xfrm>
          <a:off x="434009" y="6861312"/>
          <a:ext cx="4724398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2CEA2F20-279C-49DE-9C75-B4B5D1B42B5E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MT 2° NÍVEL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68333</xdr:colOff>
      <xdr:row>84</xdr:row>
      <xdr:rowOff>304385</xdr:rowOff>
    </xdr:from>
    <xdr:to>
      <xdr:col>6</xdr:col>
      <xdr:colOff>480391</xdr:colOff>
      <xdr:row>85</xdr:row>
      <xdr:rowOff>335445</xdr:rowOff>
    </xdr:to>
    <xdr:sp macro="" textlink="$B$146">
      <xdr:nvSpPr>
        <xdr:cNvPr id="9" name="Retângulo 8">
          <a:extLst>
            <a:ext uri="{FF2B5EF4-FFF2-40B4-BE49-F238E27FC236}">
              <a16:creationId xmlns:a16="http://schemas.microsoft.com/office/drawing/2014/main" id="{0F72503C-ADC1-4462-A5D6-13FDFF560392}"/>
            </a:ext>
          </a:extLst>
        </xdr:cNvPr>
        <xdr:cNvSpPr/>
      </xdr:nvSpPr>
      <xdr:spPr>
        <a:xfrm>
          <a:off x="420758" y="9610310"/>
          <a:ext cx="474593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A0A7343-D93A-4240-B747-C4841F91203B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BT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96493</xdr:colOff>
      <xdr:row>108</xdr:row>
      <xdr:rowOff>299415</xdr:rowOff>
    </xdr:from>
    <xdr:to>
      <xdr:col>6</xdr:col>
      <xdr:colOff>530087</xdr:colOff>
      <xdr:row>109</xdr:row>
      <xdr:rowOff>330474</xdr:rowOff>
    </xdr:to>
    <xdr:sp macro="" textlink="$B$147">
      <xdr:nvSpPr>
        <xdr:cNvPr id="10" name="Retângulo 9">
          <a:extLst>
            <a:ext uri="{FF2B5EF4-FFF2-40B4-BE49-F238E27FC236}">
              <a16:creationId xmlns:a16="http://schemas.microsoft.com/office/drawing/2014/main" id="{F6E9220F-5BAC-41C4-A3C8-575B988C45A5}"/>
            </a:ext>
          </a:extLst>
        </xdr:cNvPr>
        <xdr:cNvSpPr/>
      </xdr:nvSpPr>
      <xdr:spPr>
        <a:xfrm>
          <a:off x="448918" y="12177090"/>
          <a:ext cx="4767469" cy="431109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A8145168-C06B-4100-9B69-964A448A4A03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BTZERO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</xdr:col>
      <xdr:colOff>99806</xdr:colOff>
      <xdr:row>131</xdr:row>
      <xdr:rowOff>319293</xdr:rowOff>
    </xdr:from>
    <xdr:to>
      <xdr:col>6</xdr:col>
      <xdr:colOff>554934</xdr:colOff>
      <xdr:row>132</xdr:row>
      <xdr:rowOff>350353</xdr:rowOff>
    </xdr:to>
    <xdr:sp macro="" textlink="$B$148">
      <xdr:nvSpPr>
        <xdr:cNvPr id="11" name="Retângulo 10">
          <a:extLst>
            <a:ext uri="{FF2B5EF4-FFF2-40B4-BE49-F238E27FC236}">
              <a16:creationId xmlns:a16="http://schemas.microsoft.com/office/drawing/2014/main" id="{30B9FFF2-1276-492E-B574-6387097E3777}"/>
            </a:ext>
          </a:extLst>
        </xdr:cNvPr>
        <xdr:cNvSpPr/>
      </xdr:nvSpPr>
      <xdr:spPr>
        <a:xfrm>
          <a:off x="452231" y="14959218"/>
          <a:ext cx="4789003" cy="431110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3EA0DD11-2DB4-4701-BD18-A81F5CCAB99C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l"/>
            <a:t>TRAÇÃO RAMAIS DE LIGAÇÃO (100 mm do topo):  daN °</a:t>
          </a:fld>
          <a:endParaRPr lang="pt-BR" sz="1400" b="1" i="0" u="none" strike="noStrike">
            <a:solidFill>
              <a:schemeClr val="accent2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14</xdr:col>
      <xdr:colOff>31474</xdr:colOff>
      <xdr:row>3</xdr:row>
      <xdr:rowOff>163997</xdr:rowOff>
    </xdr:from>
    <xdr:to>
      <xdr:col>14</xdr:col>
      <xdr:colOff>950843</xdr:colOff>
      <xdr:row>5</xdr:row>
      <xdr:rowOff>106019</xdr:rowOff>
    </xdr:to>
    <xdr:sp macro="[0]!APAGALINHAS" textlink="">
      <xdr:nvSpPr>
        <xdr:cNvPr id="12" name="Retângulo 11">
          <a:extLst>
            <a:ext uri="{FF2B5EF4-FFF2-40B4-BE49-F238E27FC236}">
              <a16:creationId xmlns:a16="http://schemas.microsoft.com/office/drawing/2014/main" id="{30D7EFAB-07A9-4518-B2FB-54DCCDFD953E}"/>
            </a:ext>
          </a:extLst>
        </xdr:cNvPr>
        <xdr:cNvSpPr/>
      </xdr:nvSpPr>
      <xdr:spPr>
        <a:xfrm>
          <a:off x="9270724" y="821222"/>
          <a:ext cx="919369" cy="475422"/>
        </a:xfrm>
        <a:prstGeom prst="rect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APAGA</a:t>
          </a:r>
        </a:p>
      </xdr:txBody>
    </xdr:sp>
    <xdr:clientData/>
  </xdr:twoCellAnchor>
  <xdr:twoCellAnchor editAs="absolute">
    <xdr:from>
      <xdr:col>13</xdr:col>
      <xdr:colOff>52715</xdr:colOff>
      <xdr:row>35</xdr:row>
      <xdr:rowOff>161925</xdr:rowOff>
    </xdr:from>
    <xdr:to>
      <xdr:col>17</xdr:col>
      <xdr:colOff>0</xdr:colOff>
      <xdr:row>69</xdr:row>
      <xdr:rowOff>79487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C0EDE099-48C1-44D9-9308-0F1A1C6D6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87190" y="4933950"/>
          <a:ext cx="4204960" cy="42609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"/>
  <dimension ref="C1:V84"/>
  <sheetViews>
    <sheetView topLeftCell="A55" workbookViewId="0">
      <selection activeCell="C77" sqref="C77"/>
    </sheetView>
  </sheetViews>
  <sheetFormatPr defaultRowHeight="14.4" x14ac:dyDescent="0.3"/>
  <cols>
    <col min="3" max="3" width="36.44140625" bestFit="1" customWidth="1"/>
    <col min="4" max="4" width="15" style="36" bestFit="1" customWidth="1"/>
    <col min="7" max="7" width="15" bestFit="1" customWidth="1"/>
    <col min="14" max="14" width="25.109375" bestFit="1" customWidth="1"/>
  </cols>
  <sheetData>
    <row r="1" spans="3:15" ht="28.8" x14ac:dyDescent="0.3">
      <c r="C1" s="2" t="s">
        <v>37</v>
      </c>
      <c r="D1" s="33" t="s">
        <v>51</v>
      </c>
      <c r="E1" s="2" t="s">
        <v>52</v>
      </c>
      <c r="F1" s="2" t="s">
        <v>61</v>
      </c>
      <c r="N1" t="s">
        <v>66</v>
      </c>
    </row>
    <row r="2" spans="3:15" x14ac:dyDescent="0.3">
      <c r="C2" s="2"/>
      <c r="D2" s="33"/>
      <c r="E2" s="2"/>
    </row>
    <row r="3" spans="3:15" x14ac:dyDescent="0.3">
      <c r="C3" t="s">
        <v>23</v>
      </c>
      <c r="D3" s="34">
        <f>22/1000</f>
        <v>2.1999999999999999E-2</v>
      </c>
      <c r="E3" s="1">
        <f>779/1000</f>
        <v>0.77900000000000003</v>
      </c>
      <c r="F3">
        <v>3</v>
      </c>
      <c r="N3" t="s">
        <v>68</v>
      </c>
      <c r="O3">
        <v>3</v>
      </c>
    </row>
    <row r="4" spans="3:15" x14ac:dyDescent="0.3">
      <c r="C4" t="s">
        <v>24</v>
      </c>
      <c r="D4" s="34">
        <f>18.4/1000</f>
        <v>1.84E-2</v>
      </c>
      <c r="E4" s="1">
        <f>558/1000</f>
        <v>0.55800000000000005</v>
      </c>
      <c r="F4">
        <v>3</v>
      </c>
      <c r="N4" t="s">
        <v>67</v>
      </c>
      <c r="O4">
        <v>3</v>
      </c>
    </row>
    <row r="5" spans="3:15" x14ac:dyDescent="0.3">
      <c r="C5" t="s">
        <v>25</v>
      </c>
      <c r="D5" s="34">
        <f>10.2/1000</f>
        <v>1.0199999999999999E-2</v>
      </c>
      <c r="E5" s="1">
        <f>217/1000</f>
        <v>0.217</v>
      </c>
      <c r="F5">
        <v>3</v>
      </c>
      <c r="N5" t="s">
        <v>76</v>
      </c>
      <c r="O5">
        <v>1</v>
      </c>
    </row>
    <row r="6" spans="3:15" x14ac:dyDescent="0.3">
      <c r="C6" t="s">
        <v>26</v>
      </c>
      <c r="D6" s="34">
        <f>6.4/1000</f>
        <v>6.4000000000000003E-3</v>
      </c>
      <c r="E6" s="1">
        <f>85/1000</f>
        <v>8.5000000000000006E-2</v>
      </c>
      <c r="F6">
        <v>3</v>
      </c>
      <c r="N6" t="s">
        <v>70</v>
      </c>
      <c r="O6">
        <v>1</v>
      </c>
    </row>
    <row r="7" spans="3:15" x14ac:dyDescent="0.3">
      <c r="C7" t="s">
        <v>62</v>
      </c>
      <c r="D7" s="34">
        <f>34/1000</f>
        <v>3.4000000000000002E-2</v>
      </c>
      <c r="E7" s="1">
        <f>1195/1000</f>
        <v>1.1950000000000001</v>
      </c>
      <c r="N7" t="s">
        <v>69</v>
      </c>
      <c r="O7">
        <v>3</v>
      </c>
    </row>
    <row r="8" spans="3:15" x14ac:dyDescent="0.3">
      <c r="C8" t="s">
        <v>63</v>
      </c>
      <c r="D8" s="34">
        <f>26/1000</f>
        <v>2.5999999999999999E-2</v>
      </c>
      <c r="E8" s="1">
        <f>749/1000</f>
        <v>0.749</v>
      </c>
      <c r="N8" t="s">
        <v>73</v>
      </c>
      <c r="O8">
        <v>1</v>
      </c>
    </row>
    <row r="9" spans="3:15" x14ac:dyDescent="0.3">
      <c r="C9" t="s">
        <v>64</v>
      </c>
      <c r="D9" s="34">
        <f>17/1000</f>
        <v>1.7000000000000001E-2</v>
      </c>
      <c r="E9" s="1">
        <f>370/1000</f>
        <v>0.37</v>
      </c>
    </row>
    <row r="10" spans="3:15" x14ac:dyDescent="0.3">
      <c r="C10" t="s">
        <v>65</v>
      </c>
      <c r="D10" s="34">
        <f>13.2/1000</f>
        <v>1.32E-2</v>
      </c>
      <c r="E10" s="1">
        <f>193/1000</f>
        <v>0.193</v>
      </c>
    </row>
    <row r="11" spans="3:15" x14ac:dyDescent="0.3">
      <c r="C11" t="s">
        <v>46</v>
      </c>
      <c r="D11" s="34">
        <f>100/1000</f>
        <v>0.1</v>
      </c>
      <c r="E11" s="1">
        <f>5370/1000</f>
        <v>5.37</v>
      </c>
    </row>
    <row r="12" spans="3:15" x14ac:dyDescent="0.3">
      <c r="C12" t="s">
        <v>45</v>
      </c>
      <c r="D12" s="34">
        <f>88/1000</f>
        <v>8.7999999999999995E-2</v>
      </c>
      <c r="E12" s="1">
        <f>4430/1000</f>
        <v>4.43</v>
      </c>
    </row>
    <row r="13" spans="3:15" x14ac:dyDescent="0.3">
      <c r="C13" t="s">
        <v>44</v>
      </c>
      <c r="D13" s="34">
        <f>67/1000</f>
        <v>6.7000000000000004E-2</v>
      </c>
      <c r="E13" s="1">
        <f>2480/1000</f>
        <v>2.48</v>
      </c>
    </row>
    <row r="14" spans="3:15" x14ac:dyDescent="0.3">
      <c r="D14" s="34"/>
      <c r="E14" s="1"/>
    </row>
    <row r="15" spans="3:15" x14ac:dyDescent="0.3">
      <c r="C15" t="s">
        <v>74</v>
      </c>
      <c r="D15" s="34">
        <f>24/1000</f>
        <v>2.4E-2</v>
      </c>
      <c r="E15" s="1">
        <f>660/1000</f>
        <v>0.66</v>
      </c>
    </row>
    <row r="16" spans="3:15" x14ac:dyDescent="0.3">
      <c r="C16" t="s">
        <v>75</v>
      </c>
      <c r="D16" s="34">
        <f>13.2/1000</f>
        <v>1.32E-2</v>
      </c>
      <c r="E16" s="1">
        <f>192/1000</f>
        <v>0.192</v>
      </c>
    </row>
    <row r="17" spans="3:10" x14ac:dyDescent="0.3">
      <c r="C17" t="s">
        <v>27</v>
      </c>
      <c r="D17" s="34">
        <f>61/1000</f>
        <v>6.0999999999999999E-2</v>
      </c>
      <c r="E17" s="1">
        <f>2745/1000</f>
        <v>2.7450000000000001</v>
      </c>
    </row>
    <row r="18" spans="3:10" x14ac:dyDescent="0.3">
      <c r="C18" t="s">
        <v>28</v>
      </c>
      <c r="D18" s="34">
        <f>58/1000</f>
        <v>5.8000000000000003E-2</v>
      </c>
      <c r="E18" s="1">
        <f>2334/1000</f>
        <v>2.3340000000000001</v>
      </c>
    </row>
    <row r="19" spans="3:10" x14ac:dyDescent="0.3">
      <c r="C19" t="s">
        <v>29</v>
      </c>
      <c r="D19" s="34">
        <f>30/1000</f>
        <v>0.03</v>
      </c>
      <c r="E19" s="1">
        <f>1008/1000</f>
        <v>1.008</v>
      </c>
    </row>
    <row r="20" spans="3:10" x14ac:dyDescent="0.3">
      <c r="C20" t="s">
        <v>34</v>
      </c>
      <c r="D20" s="34">
        <f>65/1000</f>
        <v>6.5000000000000002E-2</v>
      </c>
      <c r="E20" s="1">
        <f>5250/1000</f>
        <v>5.25</v>
      </c>
    </row>
    <row r="21" spans="3:10" x14ac:dyDescent="0.3">
      <c r="C21" t="s">
        <v>35</v>
      </c>
      <c r="D21" s="34">
        <f>43/1000</f>
        <v>4.2999999999999997E-2</v>
      </c>
      <c r="E21" s="1">
        <f>2300/1000</f>
        <v>2.2999999999999998</v>
      </c>
    </row>
    <row r="22" spans="3:10" x14ac:dyDescent="0.3">
      <c r="C22" t="s">
        <v>36</v>
      </c>
      <c r="D22" s="34">
        <f>9.5/1000</f>
        <v>9.4999999999999998E-3</v>
      </c>
      <c r="E22" s="1">
        <f>407/1000</f>
        <v>0.40699999999999997</v>
      </c>
    </row>
    <row r="27" spans="3:10" x14ac:dyDescent="0.3">
      <c r="D27" s="34"/>
      <c r="E27" s="1"/>
    </row>
    <row r="30" spans="3:10" x14ac:dyDescent="0.3">
      <c r="C30" t="s">
        <v>42</v>
      </c>
      <c r="D30" s="34">
        <f>9.7/1000</f>
        <v>9.6999999999999986E-3</v>
      </c>
      <c r="E30" s="1">
        <f>97/1000</f>
        <v>9.7000000000000003E-2</v>
      </c>
    </row>
    <row r="31" spans="3:10" x14ac:dyDescent="0.3">
      <c r="C31" t="s">
        <v>43</v>
      </c>
      <c r="D31" s="34">
        <f>17.6/1000</f>
        <v>1.7600000000000001E-2</v>
      </c>
      <c r="E31" s="1">
        <f>313/1000</f>
        <v>0.313</v>
      </c>
      <c r="J31" t="s">
        <v>12</v>
      </c>
    </row>
    <row r="32" spans="3:10" x14ac:dyDescent="0.3">
      <c r="C32" t="s">
        <v>13</v>
      </c>
      <c r="D32" s="34">
        <f>11.5/1000</f>
        <v>1.15E-2</v>
      </c>
      <c r="E32" s="1">
        <f>136/1000</f>
        <v>0.13600000000000001</v>
      </c>
      <c r="J32" t="s">
        <v>13</v>
      </c>
    </row>
    <row r="33" spans="3:12" x14ac:dyDescent="0.3">
      <c r="C33" t="s">
        <v>12</v>
      </c>
      <c r="D33" s="34">
        <f>21.8/1000</f>
        <v>2.18E-2</v>
      </c>
      <c r="E33" s="1">
        <f>459/1000</f>
        <v>0.45900000000000002</v>
      </c>
      <c r="J33" s="1" t="s">
        <v>15</v>
      </c>
      <c r="K33" s="1"/>
    </row>
    <row r="34" spans="3:12" x14ac:dyDescent="0.3">
      <c r="C34" t="s">
        <v>48</v>
      </c>
      <c r="D34" s="34">
        <f>(7.05+5.04)/1000</f>
        <v>1.209E-2</v>
      </c>
      <c r="E34" s="1">
        <f>113/1000</f>
        <v>0.113</v>
      </c>
      <c r="J34" s="1" t="s">
        <v>16</v>
      </c>
      <c r="K34" s="1" t="s">
        <v>17</v>
      </c>
      <c r="L34" s="1" t="s">
        <v>14</v>
      </c>
    </row>
    <row r="35" spans="3:12" x14ac:dyDescent="0.3">
      <c r="C35" t="s">
        <v>49</v>
      </c>
      <c r="D35" s="34">
        <f>(7.05+7.05)/1000</f>
        <v>1.41E-2</v>
      </c>
      <c r="E35" s="1">
        <f>173/1000</f>
        <v>0.17299999999999999</v>
      </c>
      <c r="J35">
        <v>1</v>
      </c>
      <c r="K35">
        <v>2</v>
      </c>
      <c r="L35">
        <v>1</v>
      </c>
    </row>
    <row r="36" spans="3:12" x14ac:dyDescent="0.3">
      <c r="C36" t="s">
        <v>50</v>
      </c>
      <c r="D36" s="35">
        <f>17.484/1000</f>
        <v>1.7484000000000003E-2</v>
      </c>
      <c r="E36" s="1">
        <f>232/1000</f>
        <v>0.23200000000000001</v>
      </c>
      <c r="J36">
        <v>3</v>
      </c>
      <c r="K36">
        <v>7</v>
      </c>
      <c r="L36">
        <v>3</v>
      </c>
    </row>
    <row r="37" spans="3:12" x14ac:dyDescent="0.3">
      <c r="C37" t="s">
        <v>47</v>
      </c>
      <c r="D37" s="34">
        <f>20.936/1000</f>
        <v>2.0936E-2</v>
      </c>
      <c r="E37" s="1">
        <f>349/1000</f>
        <v>0.34899999999999998</v>
      </c>
      <c r="J37">
        <v>8</v>
      </c>
      <c r="K37">
        <v>19</v>
      </c>
      <c r="L37">
        <v>5</v>
      </c>
    </row>
    <row r="38" spans="3:12" x14ac:dyDescent="0.3">
      <c r="C38" t="s">
        <v>32</v>
      </c>
      <c r="D38" s="34">
        <f>25.5/1000</f>
        <v>2.5499999999999998E-2</v>
      </c>
      <c r="E38" s="1">
        <f>834/1000</f>
        <v>0.83399999999999996</v>
      </c>
      <c r="J38">
        <v>20</v>
      </c>
      <c r="K38">
        <v>37</v>
      </c>
      <c r="L38">
        <v>7</v>
      </c>
    </row>
    <row r="39" spans="3:12" x14ac:dyDescent="0.3">
      <c r="C39" t="s">
        <v>29</v>
      </c>
      <c r="D39" s="34">
        <f>30/1000</f>
        <v>0.03</v>
      </c>
      <c r="E39" s="1">
        <f>1008/1000</f>
        <v>1.008</v>
      </c>
      <c r="J39">
        <v>38</v>
      </c>
      <c r="K39">
        <v>61</v>
      </c>
      <c r="L39">
        <v>9</v>
      </c>
    </row>
    <row r="40" spans="3:12" x14ac:dyDescent="0.3">
      <c r="C40" t="s">
        <v>28</v>
      </c>
      <c r="D40" s="34">
        <f>58/1000</f>
        <v>5.8000000000000003E-2</v>
      </c>
      <c r="E40" s="1">
        <f>2334/1000</f>
        <v>2.3340000000000001</v>
      </c>
      <c r="J40">
        <v>61</v>
      </c>
      <c r="K40">
        <v>96</v>
      </c>
      <c r="L40">
        <v>11</v>
      </c>
    </row>
    <row r="41" spans="3:12" x14ac:dyDescent="0.3">
      <c r="C41" t="s">
        <v>27</v>
      </c>
      <c r="D41" s="34">
        <f>61/1000</f>
        <v>6.0999999999999999E-2</v>
      </c>
      <c r="E41" s="1">
        <f>2745/1000</f>
        <v>2.7450000000000001</v>
      </c>
    </row>
    <row r="42" spans="3:12" x14ac:dyDescent="0.3">
      <c r="C42" t="s">
        <v>99</v>
      </c>
      <c r="D42" s="34">
        <f>28.5/1000</f>
        <v>2.8500000000000001E-2</v>
      </c>
      <c r="E42" s="1">
        <f>1080/1000</f>
        <v>1.08</v>
      </c>
    </row>
    <row r="43" spans="3:12" x14ac:dyDescent="0.3">
      <c r="C43" t="s">
        <v>98</v>
      </c>
      <c r="D43" s="34">
        <f>34.5/1000</f>
        <v>3.4500000000000003E-2</v>
      </c>
      <c r="E43" s="1">
        <f>1450/1000</f>
        <v>1.45</v>
      </c>
    </row>
    <row r="44" spans="3:12" x14ac:dyDescent="0.3">
      <c r="C44" t="s">
        <v>35</v>
      </c>
      <c r="D44" s="34">
        <f>43/1000</f>
        <v>4.2999999999999997E-2</v>
      </c>
      <c r="E44" s="1">
        <f>2300/1000</f>
        <v>2.2999999999999998</v>
      </c>
    </row>
    <row r="45" spans="3:12" x14ac:dyDescent="0.3">
      <c r="C45" t="s">
        <v>34</v>
      </c>
      <c r="D45" s="34">
        <f>65/1000</f>
        <v>6.5000000000000002E-2</v>
      </c>
      <c r="E45" s="1">
        <f>5250/1000</f>
        <v>5.25</v>
      </c>
    </row>
    <row r="47" spans="3:12" x14ac:dyDescent="0.3">
      <c r="C47" t="s">
        <v>30</v>
      </c>
      <c r="D47" s="34">
        <f>34.7/1000</f>
        <v>3.4700000000000002E-2</v>
      </c>
      <c r="E47" s="1">
        <f>1560/1000</f>
        <v>1.56</v>
      </c>
    </row>
    <row r="48" spans="3:12" x14ac:dyDescent="0.3">
      <c r="C48" t="s">
        <v>31</v>
      </c>
      <c r="D48" s="34">
        <f>31.3/1000</f>
        <v>3.1300000000000001E-2</v>
      </c>
      <c r="E48" s="1">
        <f>1270/1000</f>
        <v>1.27</v>
      </c>
    </row>
    <row r="49" spans="3:6" x14ac:dyDescent="0.3">
      <c r="C49" t="s">
        <v>32</v>
      </c>
      <c r="D49" s="34">
        <f>25.5/1000</f>
        <v>2.5499999999999998E-2</v>
      </c>
      <c r="E49" s="1">
        <f>834/1000</f>
        <v>0.83399999999999996</v>
      </c>
    </row>
    <row r="50" spans="3:6" x14ac:dyDescent="0.3">
      <c r="C50" t="s">
        <v>33</v>
      </c>
      <c r="D50" s="34">
        <f>16.3/1000</f>
        <v>1.6300000000000002E-2</v>
      </c>
      <c r="E50" s="1">
        <f>349/1000</f>
        <v>0.34899999999999998</v>
      </c>
    </row>
    <row r="56" spans="3:6" x14ac:dyDescent="0.3">
      <c r="D56" s="34" t="s">
        <v>102</v>
      </c>
      <c r="E56" s="1" t="s">
        <v>105</v>
      </c>
      <c r="F56" s="1"/>
    </row>
    <row r="57" spans="3:6" x14ac:dyDescent="0.3">
      <c r="C57" s="38" t="s">
        <v>101</v>
      </c>
      <c r="D57" t="s">
        <v>110</v>
      </c>
      <c r="E57">
        <v>12.24</v>
      </c>
    </row>
    <row r="58" spans="3:6" x14ac:dyDescent="0.3">
      <c r="C58" s="38"/>
      <c r="D58" t="s">
        <v>111</v>
      </c>
      <c r="E58">
        <v>14.18</v>
      </c>
    </row>
    <row r="59" spans="3:6" x14ac:dyDescent="0.3">
      <c r="C59" s="38"/>
      <c r="D59" t="s">
        <v>112</v>
      </c>
      <c r="E59" s="37">
        <v>18.489999999999998</v>
      </c>
      <c r="F59" s="37"/>
    </row>
    <row r="60" spans="3:6" x14ac:dyDescent="0.3">
      <c r="C60" s="38"/>
      <c r="D60" t="s">
        <v>113</v>
      </c>
      <c r="E60" s="37">
        <v>20.09</v>
      </c>
      <c r="F60" s="37"/>
    </row>
    <row r="61" spans="3:6" x14ac:dyDescent="0.3">
      <c r="C61" s="38"/>
      <c r="D61" t="s">
        <v>114</v>
      </c>
      <c r="E61">
        <v>23.27</v>
      </c>
    </row>
    <row r="62" spans="3:6" x14ac:dyDescent="0.3">
      <c r="C62" s="38"/>
      <c r="D62" t="s">
        <v>115</v>
      </c>
      <c r="E62">
        <v>28.06</v>
      </c>
    </row>
    <row r="63" spans="3:6" x14ac:dyDescent="0.3">
      <c r="C63" s="38"/>
      <c r="D63" t="s">
        <v>116</v>
      </c>
      <c r="E63">
        <v>20.78</v>
      </c>
    </row>
    <row r="64" spans="3:6" x14ac:dyDescent="0.3">
      <c r="C64" s="38"/>
      <c r="D64" t="s">
        <v>117</v>
      </c>
      <c r="E64">
        <v>22.53</v>
      </c>
    </row>
    <row r="65" spans="3:22" x14ac:dyDescent="0.3">
      <c r="C65" s="38"/>
      <c r="D65" t="s">
        <v>118</v>
      </c>
      <c r="E65">
        <v>26.02</v>
      </c>
    </row>
    <row r="66" spans="3:22" x14ac:dyDescent="0.3">
      <c r="C66" s="38"/>
      <c r="D66" t="s">
        <v>123</v>
      </c>
      <c r="E66">
        <v>34.76</v>
      </c>
    </row>
    <row r="67" spans="3:22" x14ac:dyDescent="0.3">
      <c r="C67" s="38"/>
      <c r="D67" t="s">
        <v>120</v>
      </c>
      <c r="E67">
        <v>34.83</v>
      </c>
    </row>
    <row r="68" spans="3:22" x14ac:dyDescent="0.3">
      <c r="C68" s="38"/>
      <c r="D68" t="s">
        <v>121</v>
      </c>
      <c r="E68">
        <v>44.46</v>
      </c>
    </row>
    <row r="69" spans="3:22" x14ac:dyDescent="0.3">
      <c r="C69" s="38" t="s">
        <v>103</v>
      </c>
      <c r="D69" t="s">
        <v>111</v>
      </c>
      <c r="E69">
        <v>12.21</v>
      </c>
    </row>
    <row r="70" spans="3:22" x14ac:dyDescent="0.3">
      <c r="C70" s="38"/>
      <c r="D70" t="s">
        <v>112</v>
      </c>
      <c r="E70">
        <v>18.510000000000002</v>
      </c>
    </row>
    <row r="71" spans="3:22" x14ac:dyDescent="0.3">
      <c r="C71" s="38"/>
      <c r="D71" t="s">
        <v>113</v>
      </c>
      <c r="E71">
        <v>19.66</v>
      </c>
    </row>
    <row r="72" spans="3:22" x14ac:dyDescent="0.3">
      <c r="C72" s="38"/>
      <c r="D72" t="s">
        <v>117</v>
      </c>
      <c r="E72">
        <v>22.09</v>
      </c>
    </row>
    <row r="73" spans="3:22" x14ac:dyDescent="0.3">
      <c r="C73" s="38" t="s">
        <v>104</v>
      </c>
      <c r="D73" t="s">
        <v>111</v>
      </c>
      <c r="E73">
        <v>21.55</v>
      </c>
    </row>
    <row r="74" spans="3:22" x14ac:dyDescent="0.3">
      <c r="C74" s="38"/>
      <c r="D74" t="s">
        <v>112</v>
      </c>
      <c r="E74">
        <v>28.78</v>
      </c>
    </row>
    <row r="75" spans="3:22" x14ac:dyDescent="0.3">
      <c r="C75" s="38"/>
      <c r="D75" t="s">
        <v>113</v>
      </c>
      <c r="E75">
        <v>28.78</v>
      </c>
    </row>
    <row r="76" spans="3:22" x14ac:dyDescent="0.3">
      <c r="C76" s="38"/>
      <c r="D76" t="s">
        <v>117</v>
      </c>
      <c r="E76">
        <v>32.58</v>
      </c>
      <c r="O76">
        <f>0.00754*60^2</f>
        <v>27.143999999999998</v>
      </c>
    </row>
    <row r="77" spans="3:22" x14ac:dyDescent="0.3">
      <c r="C77" s="38" t="s">
        <v>124</v>
      </c>
      <c r="D77" t="s">
        <v>125</v>
      </c>
      <c r="E77">
        <v>7.51</v>
      </c>
      <c r="O77">
        <v>90</v>
      </c>
      <c r="Q77">
        <v>140</v>
      </c>
    </row>
    <row r="78" spans="3:22" x14ac:dyDescent="0.3">
      <c r="O78">
        <v>90</v>
      </c>
      <c r="Q78">
        <v>448</v>
      </c>
      <c r="S78" t="s">
        <v>107</v>
      </c>
      <c r="T78">
        <f>O81+2*O77</f>
        <v>270</v>
      </c>
      <c r="U78">
        <f>O79</f>
        <v>6.15</v>
      </c>
      <c r="V78">
        <f>(T78*U78)/(T79*U79)</f>
        <v>3.0750000000000002</v>
      </c>
    </row>
    <row r="79" spans="3:22" x14ac:dyDescent="0.3">
      <c r="O79">
        <f>7.5-0.75-0.6</f>
        <v>6.15</v>
      </c>
      <c r="Q79">
        <v>9.3000000000000007</v>
      </c>
      <c r="T79">
        <f>O77+O81</f>
        <v>180</v>
      </c>
      <c r="U79">
        <v>3</v>
      </c>
    </row>
    <row r="80" spans="3:22" x14ac:dyDescent="0.3">
      <c r="O80">
        <f>(O78-O77)/12</f>
        <v>0</v>
      </c>
      <c r="Q80">
        <v>28</v>
      </c>
    </row>
    <row r="81" spans="14:22" x14ac:dyDescent="0.3">
      <c r="O81">
        <v>90</v>
      </c>
      <c r="Q81">
        <f>(9.3*28+140)</f>
        <v>400.40000000000003</v>
      </c>
      <c r="V81">
        <f>V78/O79*O84/1000</f>
        <v>7.5121019999999996</v>
      </c>
    </row>
    <row r="83" spans="14:22" x14ac:dyDescent="0.3">
      <c r="N83" t="s">
        <v>106</v>
      </c>
      <c r="O83">
        <f>0.5*(90+90)*6.15</f>
        <v>553.5</v>
      </c>
      <c r="Q83">
        <f>0.5*(Q77+Q81)*Q79</f>
        <v>2512.8600000000006</v>
      </c>
    </row>
    <row r="84" spans="14:22" x14ac:dyDescent="0.3">
      <c r="O84">
        <f>O83*O76</f>
        <v>15024.204</v>
      </c>
      <c r="Q84">
        <f>Q83*O76</f>
        <v>68209.071840000019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H39"/>
  <sheetViews>
    <sheetView workbookViewId="0">
      <selection activeCell="D21" sqref="D21"/>
    </sheetView>
  </sheetViews>
  <sheetFormatPr defaultRowHeight="14.4" x14ac:dyDescent="0.3"/>
  <cols>
    <col min="1" max="2" width="25.6640625" bestFit="1" customWidth="1"/>
    <col min="3" max="3" width="25.5546875" bestFit="1" customWidth="1"/>
    <col min="8" max="8" width="39.88671875" customWidth="1"/>
  </cols>
  <sheetData>
    <row r="1" spans="1:8" x14ac:dyDescent="0.3">
      <c r="A1" t="s">
        <v>68</v>
      </c>
      <c r="B1" t="s">
        <v>67</v>
      </c>
      <c r="C1" t="s">
        <v>76</v>
      </c>
    </row>
    <row r="2" spans="1:8" x14ac:dyDescent="0.3">
      <c r="A2" t="s">
        <v>62</v>
      </c>
      <c r="B2" t="s">
        <v>23</v>
      </c>
      <c r="C2" t="s">
        <v>46</v>
      </c>
      <c r="G2" t="s">
        <v>77</v>
      </c>
      <c r="H2" t="s">
        <v>76</v>
      </c>
    </row>
    <row r="3" spans="1:8" x14ac:dyDescent="0.3">
      <c r="A3" t="s">
        <v>63</v>
      </c>
      <c r="B3" t="s">
        <v>24</v>
      </c>
      <c r="C3" t="s">
        <v>45</v>
      </c>
      <c r="G3" t="s">
        <v>78</v>
      </c>
    </row>
    <row r="4" spans="1:8" x14ac:dyDescent="0.3">
      <c r="A4" t="s">
        <v>64</v>
      </c>
      <c r="B4" t="s">
        <v>25</v>
      </c>
      <c r="C4" t="s">
        <v>44</v>
      </c>
    </row>
    <row r="5" spans="1:8" x14ac:dyDescent="0.3">
      <c r="B5" t="s">
        <v>26</v>
      </c>
    </row>
    <row r="6" spans="1:8" x14ac:dyDescent="0.3">
      <c r="B6" t="s">
        <v>62</v>
      </c>
    </row>
    <row r="7" spans="1:8" x14ac:dyDescent="0.3">
      <c r="B7" t="s">
        <v>63</v>
      </c>
    </row>
    <row r="8" spans="1:8" x14ac:dyDescent="0.3">
      <c r="B8" t="s">
        <v>64</v>
      </c>
    </row>
    <row r="9" spans="1:8" x14ac:dyDescent="0.3">
      <c r="B9" t="s">
        <v>65</v>
      </c>
    </row>
    <row r="13" spans="1:8" x14ac:dyDescent="0.3">
      <c r="A13" t="s">
        <v>70</v>
      </c>
      <c r="B13" t="s">
        <v>69</v>
      </c>
      <c r="C13" t="s">
        <v>73</v>
      </c>
    </row>
    <row r="14" spans="1:8" x14ac:dyDescent="0.3">
      <c r="A14" t="s">
        <v>27</v>
      </c>
      <c r="B14" t="s">
        <v>74</v>
      </c>
      <c r="C14" t="s">
        <v>34</v>
      </c>
      <c r="G14" t="s">
        <v>77</v>
      </c>
      <c r="H14" t="s">
        <v>76</v>
      </c>
    </row>
    <row r="15" spans="1:8" x14ac:dyDescent="0.3">
      <c r="A15" t="s">
        <v>28</v>
      </c>
      <c r="B15" t="s">
        <v>75</v>
      </c>
      <c r="C15" t="s">
        <v>35</v>
      </c>
      <c r="G15" t="s">
        <v>78</v>
      </c>
    </row>
    <row r="16" spans="1:8" x14ac:dyDescent="0.3">
      <c r="A16" t="s">
        <v>29</v>
      </c>
    </row>
    <row r="20" spans="1:4" x14ac:dyDescent="0.3">
      <c r="A20" s="38" t="s">
        <v>101</v>
      </c>
      <c r="B20" s="38" t="s">
        <v>103</v>
      </c>
      <c r="C20" s="38" t="s">
        <v>122</v>
      </c>
      <c r="D20" s="38" t="s">
        <v>124</v>
      </c>
    </row>
    <row r="21" spans="1:4" x14ac:dyDescent="0.3">
      <c r="A21" t="s">
        <v>110</v>
      </c>
      <c r="B21" t="s">
        <v>111</v>
      </c>
      <c r="C21" t="s">
        <v>111</v>
      </c>
      <c r="D21" t="s">
        <v>125</v>
      </c>
    </row>
    <row r="22" spans="1:4" x14ac:dyDescent="0.3">
      <c r="A22" t="s">
        <v>111</v>
      </c>
      <c r="B22" t="s">
        <v>112</v>
      </c>
      <c r="C22" t="s">
        <v>112</v>
      </c>
    </row>
    <row r="23" spans="1:4" x14ac:dyDescent="0.3">
      <c r="A23" t="s">
        <v>112</v>
      </c>
      <c r="B23" t="s">
        <v>113</v>
      </c>
      <c r="C23" t="s">
        <v>113</v>
      </c>
    </row>
    <row r="24" spans="1:4" x14ac:dyDescent="0.3">
      <c r="A24" t="s">
        <v>113</v>
      </c>
      <c r="B24" t="s">
        <v>117</v>
      </c>
      <c r="C24" t="s">
        <v>117</v>
      </c>
    </row>
    <row r="25" spans="1:4" x14ac:dyDescent="0.3">
      <c r="A25" t="s">
        <v>114</v>
      </c>
    </row>
    <row r="26" spans="1:4" x14ac:dyDescent="0.3">
      <c r="A26" t="s">
        <v>115</v>
      </c>
    </row>
    <row r="27" spans="1:4" x14ac:dyDescent="0.3">
      <c r="A27" t="s">
        <v>116</v>
      </c>
    </row>
    <row r="28" spans="1:4" x14ac:dyDescent="0.3">
      <c r="A28" t="s">
        <v>117</v>
      </c>
    </row>
    <row r="29" spans="1:4" x14ac:dyDescent="0.3">
      <c r="A29" t="s">
        <v>118</v>
      </c>
    </row>
    <row r="30" spans="1:4" x14ac:dyDescent="0.3">
      <c r="A30" t="s">
        <v>119</v>
      </c>
    </row>
    <row r="31" spans="1:4" x14ac:dyDescent="0.3">
      <c r="A31" t="s">
        <v>120</v>
      </c>
    </row>
    <row r="32" spans="1:4" x14ac:dyDescent="0.3">
      <c r="A32" t="s">
        <v>121</v>
      </c>
    </row>
    <row r="33" spans="1:1" x14ac:dyDescent="0.3">
      <c r="A33" s="38"/>
    </row>
    <row r="34" spans="1:1" x14ac:dyDescent="0.3">
      <c r="A34" s="38"/>
    </row>
    <row r="35" spans="1:1" x14ac:dyDescent="0.3">
      <c r="A35" s="38"/>
    </row>
    <row r="36" spans="1:1" x14ac:dyDescent="0.3">
      <c r="A36" s="38"/>
    </row>
    <row r="37" spans="1:1" x14ac:dyDescent="0.3">
      <c r="A37" s="38"/>
    </row>
    <row r="38" spans="1:1" x14ac:dyDescent="0.3">
      <c r="A38" s="38"/>
    </row>
    <row r="39" spans="1:1" x14ac:dyDescent="0.3">
      <c r="A39" s="38"/>
    </row>
  </sheetData>
  <dataValidations disablePrompts="1" count="2">
    <dataValidation type="list" allowBlank="1" showInputMessage="1" showErrorMessage="1" sqref="H3 H15" xr:uid="{00000000-0002-0000-0100-000000000000}">
      <formula1>Tipo</formula1>
    </dataValidation>
    <dataValidation type="list" allowBlank="1" showInputMessage="1" showErrorMessage="1" sqref="H2 H14" xr:uid="{00000000-0002-0000-0100-000001000000}">
      <formula1>$A$1:$C$1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6">
    <pageSetUpPr fitToPage="1"/>
  </sheetPr>
  <dimension ref="A1:U149"/>
  <sheetViews>
    <sheetView showGridLines="0" showRowColHeaders="0" showRuler="0" zoomScaleNormal="100" workbookViewId="0">
      <selection activeCell="C17" sqref="C17"/>
    </sheetView>
  </sheetViews>
  <sheetFormatPr defaultColWidth="0" defaultRowHeight="14.4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136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x14ac:dyDescent="0.3">
      <c r="B12" s="7" t="s">
        <v>66</v>
      </c>
      <c r="C12" s="50" t="s">
        <v>68</v>
      </c>
      <c r="D12" s="50"/>
      <c r="E12" s="5"/>
      <c r="F12" s="50" t="s">
        <v>67</v>
      </c>
      <c r="G12" s="50"/>
      <c r="H12" s="5"/>
      <c r="I12" s="50"/>
      <c r="J12" s="50"/>
      <c r="K12" s="5"/>
      <c r="L12" s="50"/>
      <c r="M12" s="55"/>
      <c r="U12" s="16"/>
    </row>
    <row r="13" spans="2:21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x14ac:dyDescent="0.3">
      <c r="B14" s="8" t="s">
        <v>3</v>
      </c>
      <c r="C14" s="22">
        <v>52</v>
      </c>
      <c r="D14" s="3" t="s">
        <v>2</v>
      </c>
      <c r="F14" s="22">
        <v>51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x14ac:dyDescent="0.3">
      <c r="B16" s="8" t="s">
        <v>59</v>
      </c>
      <c r="C16" s="21">
        <v>0</v>
      </c>
      <c r="D16" s="9" t="s">
        <v>5</v>
      </c>
      <c r="F16" s="21">
        <v>180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x14ac:dyDescent="0.3">
      <c r="B17" s="8" t="s">
        <v>10</v>
      </c>
      <c r="C17" s="21">
        <v>9.3000000000000007</v>
      </c>
      <c r="D17" s="3" t="s">
        <v>2</v>
      </c>
      <c r="M17" s="6"/>
    </row>
    <row r="18" spans="2:21" x14ac:dyDescent="0.3">
      <c r="B18" s="8" t="s">
        <v>9</v>
      </c>
      <c r="C18" s="21">
        <v>9.1</v>
      </c>
      <c r="D18" s="3" t="s">
        <v>2</v>
      </c>
      <c r="M18" s="6"/>
    </row>
    <row r="19" spans="2:21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0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5.1000000000000004E-2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1.1099999999999999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idden="1" x14ac:dyDescent="0.3">
      <c r="B27" s="8" t="s">
        <v>79</v>
      </c>
      <c r="C27" s="15">
        <f>IF(C12&gt;0,ROUND(C26*C14/2*C24*COS(PI()/180*C16),2)," ")</f>
        <v>26.67</v>
      </c>
      <c r="F27" s="15">
        <f>IF(F12&gt;0,ROUND(F26*F14/2*F24*COS(PI()/180*F16),2)," ")</f>
        <v>-22.05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idden="1" x14ac:dyDescent="0.3">
      <c r="B29" s="8" t="s">
        <v>11</v>
      </c>
      <c r="C29" s="15">
        <f>IF(C12&gt;0,(C25*C14^2)/(8*C15)," ")</f>
        <v>1025.492</v>
      </c>
      <c r="D29" s="3" t="s">
        <v>1</v>
      </c>
      <c r="F29" s="15">
        <f>IF(F12&gt;0,(F25*F14^2)/(8*F15)," ")</f>
        <v>721.77749999999992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idden="1" x14ac:dyDescent="0.3">
      <c r="B30" s="8" t="s">
        <v>56</v>
      </c>
      <c r="C30" s="15">
        <f>IF(C12=0,"",ROUND(C29*COS(PI()/180*C16),2))</f>
        <v>1025.49</v>
      </c>
      <c r="D30" s="16"/>
      <c r="E30" s="16"/>
      <c r="F30" s="15">
        <f>IF(F12=0,"",ROUND(F29*COS(PI()/180*F16),2))</f>
        <v>-721.78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idden="1" x14ac:dyDescent="0.3">
      <c r="B32" s="8" t="s">
        <v>58</v>
      </c>
      <c r="C32" s="15">
        <f>IF(C12&gt;0,SQRT(SUM(C30:L30)^2+SUM(C31:L31)^2)+SQRT(SUM(C27:L27)^2+SUM(C28:L28)^2),0)</f>
        <v>308.33000000000004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 t="s">
        <v>85</v>
      </c>
      <c r="D33" s="60"/>
      <c r="E33" s="27"/>
      <c r="F33" s="28">
        <f>IF(C12=0,"",C32*C18/(C17*0.9-0.6-0.1))</f>
        <v>365.81525423728812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0</v>
      </c>
      <c r="G34" s="32" t="s">
        <v>5</v>
      </c>
      <c r="H34" s="12"/>
      <c r="I34" s="12"/>
      <c r="J34" s="12"/>
      <c r="K34" s="12"/>
      <c r="L34" s="12"/>
      <c r="M34" s="13"/>
    </row>
    <row r="35" spans="2:13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x14ac:dyDescent="0.3">
      <c r="B43" s="8" t="s">
        <v>10</v>
      </c>
      <c r="C43" s="21"/>
      <c r="D43" s="3" t="s">
        <v>2</v>
      </c>
      <c r="M43" s="6"/>
    </row>
    <row r="44" spans="2:13" x14ac:dyDescent="0.3">
      <c r="B44" s="8" t="s">
        <v>9</v>
      </c>
      <c r="C44" s="21"/>
      <c r="D44" s="3" t="s">
        <v>2</v>
      </c>
      <c r="M44" s="6"/>
    </row>
    <row r="45" spans="2:13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x14ac:dyDescent="0.3">
      <c r="B69" s="8" t="s">
        <v>10</v>
      </c>
      <c r="C69" s="21"/>
      <c r="D69" s="3" t="s">
        <v>2</v>
      </c>
      <c r="M69" s="6"/>
    </row>
    <row r="70" spans="2:13" x14ac:dyDescent="0.3">
      <c r="B70" s="8" t="s">
        <v>9</v>
      </c>
      <c r="C70" s="21"/>
      <c r="D70" s="3" t="s">
        <v>2</v>
      </c>
      <c r="M70" s="6"/>
    </row>
    <row r="71" spans="2:13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x14ac:dyDescent="0.3">
      <c r="B94" s="8" t="s">
        <v>10</v>
      </c>
      <c r="C94" s="21"/>
      <c r="D94" s="3" t="s">
        <v>2</v>
      </c>
      <c r="M94" s="6"/>
    </row>
    <row r="95" spans="2:13" x14ac:dyDescent="0.3">
      <c r="B95" s="8" t="s">
        <v>9</v>
      </c>
      <c r="C95" s="21"/>
      <c r="M95" s="6"/>
    </row>
    <row r="96" spans="2:13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x14ac:dyDescent="0.3">
      <c r="B115" s="7" t="s">
        <v>55</v>
      </c>
      <c r="C115" s="22"/>
      <c r="F115" s="22"/>
      <c r="I115" s="22"/>
      <c r="L115" s="22"/>
      <c r="M115" s="6"/>
    </row>
    <row r="116" spans="2:13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x14ac:dyDescent="0.3">
      <c r="B119" s="8" t="s">
        <v>10</v>
      </c>
      <c r="C119" s="21"/>
      <c r="D119" s="3" t="s">
        <v>2</v>
      </c>
      <c r="M119" s="6"/>
    </row>
    <row r="120" spans="2:13" x14ac:dyDescent="0.3">
      <c r="B120" s="8" t="s">
        <v>9</v>
      </c>
      <c r="C120" s="21"/>
      <c r="D120" s="3" t="s">
        <v>2</v>
      </c>
      <c r="M120" s="6"/>
    </row>
    <row r="121" spans="2:13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idden="1" x14ac:dyDescent="0.3">
      <c r="C137" s="3" t="s">
        <v>56</v>
      </c>
      <c r="D137" s="15">
        <f>IF(C12&gt;0,IF(F33=0,"",F33*COS(PI()/180*F34))," ")</f>
        <v>365.81525423728812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idden="1" x14ac:dyDescent="0.3">
      <c r="C138" s="3" t="s">
        <v>57</v>
      </c>
      <c r="D138" s="15">
        <f>IF(C12&gt;0,IF(F33=0,"",F33*SIN(PI()/180*F34))," ")</f>
        <v>0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384.30525423728812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0</v>
      </c>
      <c r="D141" s="24" t="s">
        <v>5</v>
      </c>
    </row>
    <row r="143" spans="2:15" hidden="1" x14ac:dyDescent="0.3">
      <c r="B143" s="3" t="str">
        <f>"TRAÇÃO TOTAL: "&amp;TEXT(C140,0)&amp;" daN"&amp;" "&amp;TEXT(C141,0)&amp;"°"</f>
        <v>TRAÇÃO TOTAL: 384 daN 0°</v>
      </c>
      <c r="C143" s="3" t="s">
        <v>92</v>
      </c>
    </row>
    <row r="144" spans="2:15" hidden="1" x14ac:dyDescent="0.3">
      <c r="B144" s="3" t="str">
        <f>"TRAÇÃO MT 1° NÍVEL (100 mm do topo): "&amp;TEXT(F33,0)&amp;" daN"&amp;" "&amp;TEXT(F34,0)&amp;"°"</f>
        <v>TRAÇÃO MT 1° NÍVEL (100 mm do topo): 366 daN 0°</v>
      </c>
      <c r="C144" s="3" t="s">
        <v>93</v>
      </c>
    </row>
    <row r="145" spans="2:3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idden="1" x14ac:dyDescent="0.3">
      <c r="B149" s="3" t="s">
        <v>100</v>
      </c>
      <c r="C149" s="3">
        <f>IF(C7=Plan1!C57,VLOOKUP('Ponto (1)'!C8,Plan1!D57:E68,2,FALSE),IF(C7=Plan1!C69,VLOOKUP('Ponto (1)'!C8,Plan1!D69:E72,2,FALSE),IF(C7=Plan1!C73,VLOOKUP('Ponto (1)'!C8,Plan1!D73:E76,2,FALSE),IF(C7=Plan1!C77,VLOOKUP('Ponto (1)'!C8,Plan1!D77:E77,2,FALSE),0))))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L37:M37"/>
    <mergeCell ref="C11:D11"/>
    <mergeCell ref="F11:G11"/>
    <mergeCell ref="I11:J11"/>
    <mergeCell ref="L11:M11"/>
    <mergeCell ref="I13:J13"/>
    <mergeCell ref="L12:M12"/>
    <mergeCell ref="L13:M13"/>
    <mergeCell ref="C33:D34"/>
    <mergeCell ref="C12:D12"/>
    <mergeCell ref="C13:D13"/>
    <mergeCell ref="F12:G12"/>
    <mergeCell ref="C89:D89"/>
    <mergeCell ref="F89:G89"/>
    <mergeCell ref="I64:J64"/>
    <mergeCell ref="I65:J65"/>
    <mergeCell ref="C85:D86"/>
    <mergeCell ref="C65:D65"/>
    <mergeCell ref="F65:G65"/>
    <mergeCell ref="I89:J89"/>
    <mergeCell ref="C63:D63"/>
    <mergeCell ref="F63:G63"/>
    <mergeCell ref="I63:J63"/>
    <mergeCell ref="L63:M63"/>
    <mergeCell ref="L64:M64"/>
    <mergeCell ref="C64:D64"/>
    <mergeCell ref="F64:G64"/>
    <mergeCell ref="C132:D133"/>
    <mergeCell ref="L110:M110"/>
    <mergeCell ref="C113:D113"/>
    <mergeCell ref="F113:G113"/>
    <mergeCell ref="I113:J113"/>
    <mergeCell ref="L113:M113"/>
    <mergeCell ref="I90:J90"/>
    <mergeCell ref="L90:M90"/>
    <mergeCell ref="C114:D114"/>
    <mergeCell ref="F114:G114"/>
    <mergeCell ref="I114:J114"/>
    <mergeCell ref="L114:M114"/>
    <mergeCell ref="C109:D110"/>
    <mergeCell ref="B112:M112"/>
    <mergeCell ref="C90:D90"/>
    <mergeCell ref="F90:G90"/>
    <mergeCell ref="L89:M89"/>
    <mergeCell ref="L65:M65"/>
    <mergeCell ref="B88:M88"/>
    <mergeCell ref="C7:D7"/>
    <mergeCell ref="C8:D8"/>
    <mergeCell ref="B10:M10"/>
    <mergeCell ref="B36:M36"/>
    <mergeCell ref="B62:M62"/>
    <mergeCell ref="L38:M38"/>
    <mergeCell ref="L39:M39"/>
    <mergeCell ref="I12:J12"/>
    <mergeCell ref="F13:G13"/>
    <mergeCell ref="I38:J38"/>
    <mergeCell ref="I39:J39"/>
    <mergeCell ref="C59:D60"/>
    <mergeCell ref="C38:D38"/>
    <mergeCell ref="C39:D39"/>
    <mergeCell ref="F38:G38"/>
    <mergeCell ref="F39:G39"/>
    <mergeCell ref="E1:F1"/>
    <mergeCell ref="H1:I1"/>
    <mergeCell ref="B5:E5"/>
    <mergeCell ref="C37:D37"/>
    <mergeCell ref="F37:G37"/>
    <mergeCell ref="I37:J37"/>
    <mergeCell ref="K1:L1"/>
    <mergeCell ref="K3:L3"/>
    <mergeCell ref="H3:I3"/>
    <mergeCell ref="C3:F3"/>
    <mergeCell ref="C2:L2"/>
  </mergeCells>
  <dataValidations count="13">
    <dataValidation type="list" allowBlank="1" showInputMessage="1" showErrorMessage="1" sqref="C13" xr:uid="{00000000-0002-0000-0200-000000000000}">
      <formula1>Tipo</formula1>
    </dataValidation>
    <dataValidation type="list" allowBlank="1" showInputMessage="1" showErrorMessage="1" sqref="I13" xr:uid="{00000000-0002-0000-0200-000001000000}">
      <formula1>Tipo3</formula1>
    </dataValidation>
    <dataValidation type="list" allowBlank="1" showInputMessage="1" showErrorMessage="1" sqref="L13" xr:uid="{00000000-0002-0000-0200-000002000000}">
      <formula1>Tipo4</formula1>
    </dataValidation>
    <dataValidation type="list" allowBlank="1" showInputMessage="1" showErrorMessage="1" sqref="L39" xr:uid="{00000000-0002-0000-0200-000003000000}">
      <formula1>Tipo8</formula1>
    </dataValidation>
    <dataValidation type="list" allowBlank="1" showInputMessage="1" showErrorMessage="1" sqref="C65" xr:uid="{00000000-0002-0000-0200-000004000000}">
      <formula1>Tipo9</formula1>
    </dataValidation>
    <dataValidation type="list" allowBlank="1" showInputMessage="1" showErrorMessage="1" sqref="I65" xr:uid="{00000000-0002-0000-0200-000005000000}">
      <formula1>Tipo11</formula1>
    </dataValidation>
    <dataValidation type="list" allowBlank="1" showInputMessage="1" showErrorMessage="1" sqref="L65" xr:uid="{00000000-0002-0000-0200-000006000000}">
      <formula1>Tipo12</formula1>
    </dataValidation>
    <dataValidation type="list" allowBlank="1" showInputMessage="1" showErrorMessage="1" sqref="F13:G13" xr:uid="{00000000-0002-0000-0200-000007000000}">
      <formula1>Tipo2</formula1>
    </dataValidation>
    <dataValidation type="list" allowBlank="1" showInputMessage="1" showErrorMessage="1" sqref="C39:D39" xr:uid="{00000000-0002-0000-0200-000008000000}">
      <formula1>tipo5</formula1>
    </dataValidation>
    <dataValidation type="list" allowBlank="1" showInputMessage="1" showErrorMessage="1" sqref="F39:G39" xr:uid="{00000000-0002-0000-0200-000009000000}">
      <formula1>Tipo6</formula1>
    </dataValidation>
    <dataValidation type="list" allowBlank="1" showInputMessage="1" showErrorMessage="1" sqref="I39:J39" xr:uid="{00000000-0002-0000-0200-00000A000000}">
      <formula1>Tipo7</formula1>
    </dataValidation>
    <dataValidation type="list" allowBlank="1" showInputMessage="1" showErrorMessage="1" sqref="F65:G65" xr:uid="{00000000-0002-0000-0200-00000B000000}">
      <formula1>Tipo10</formula1>
    </dataValidation>
    <dataValidation type="list" allowBlank="1" showInputMessage="1" showErrorMessage="1" sqref="C8" xr:uid="{00000000-0002-0000-0200-00000C000000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ignoredErrors>
    <ignoredError sqref="C79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D000000}">
          <x14:formula1>
            <xm:f>Plan4!$A$1:$C$1</xm:f>
          </x14:formula1>
          <xm:sqref>C12 L38 I12 L12 I38 C38 F38 F12</xm:sqref>
        </x14:dataValidation>
        <x14:dataValidation type="list" allowBlank="1" showInputMessage="1" showErrorMessage="1" xr:uid="{00000000-0002-0000-0200-00000E000000}">
          <x14:formula1>
            <xm:f>Plan1!$N$6:$N$8</xm:f>
          </x14:formula1>
          <xm:sqref>C64 L64 I64 F64</xm:sqref>
        </x14:dataValidation>
        <x14:dataValidation type="list" allowBlank="1" showInputMessage="1" showErrorMessage="1" xr:uid="{00000000-0002-0000-0200-00000F000000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00000000-0002-0000-0200-000010000000}">
          <x14:formula1>
            <xm:f>Plan4!$A$20:$D$20</xm:f>
          </x14:formula1>
          <xm:sqref>C7:D7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A3875-CE3B-4A2F-B1E3-943AB4171387}">
  <sheetPr codeName="Plan7">
    <pageSetUpPr fitToPage="1"/>
  </sheetPr>
  <dimension ref="A1:U149"/>
  <sheetViews>
    <sheetView showGridLines="0" showRowColHeaders="0" showRuler="0" zoomScaleNormal="100" workbookViewId="0">
      <selection activeCell="C8" sqref="C8:D8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138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52</v>
      </c>
      <c r="D14" s="3" t="s">
        <v>2</v>
      </c>
      <c r="F14" s="22">
        <v>50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162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26.67</v>
      </c>
      <c r="F27" s="15">
        <f>IF(F12&gt;0,ROUND(F26*F14/2*F24*COS(PI()/180*F16),2)," ")</f>
        <v>-24.39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7.93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1025.492</v>
      </c>
      <c r="D29" s="3" t="s">
        <v>1</v>
      </c>
      <c r="F29" s="15">
        <f>IF(F12&gt;0,(F25*F14^2)/(8*F15)," ")</f>
        <v>948.12499999999989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1025.49</v>
      </c>
      <c r="D30" s="16"/>
      <c r="E30" s="16"/>
      <c r="F30" s="15">
        <f>IF(F12=0,"",ROUND(F29*COS(PI()/180*F16),2))</f>
        <v>-901.72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292.99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326.31124384624155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 t="s">
        <v>85</v>
      </c>
      <c r="D33" s="60"/>
      <c r="E33" s="27"/>
      <c r="F33" s="28">
        <f>IF(C12=0,"",C32*C18/(C17*0.9-0.6-0.1))</f>
        <v>387.14893337689665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67.098974725912242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150.65530401341451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356.63325137666902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405.63893337689666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67.098974725912242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406 daN 67°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387 daN 67°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(2)'!C8,Plan1!D57:E68,2,FALSE),IF(C7=Plan1!C69,VLOOKUP('Ponto (2)'!C8,Plan1!D69:E72,2,FALSE),IF(C7=Plan1!C73,VLOOKUP('Ponto (2)'!C8,Plan1!D73:E76,2,FALSE),IF(C7=Plan1!C77,VLOOKUP('Ponto (2)'!C8,Plan1!D77:E77,2,FALSE),0))))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8" xr:uid="{96261D4C-18B4-4B54-AC3C-6455C9965B67}">
      <formula1>Poste</formula1>
    </dataValidation>
    <dataValidation type="list" allowBlank="1" showInputMessage="1" showErrorMessage="1" sqref="F65:G65" xr:uid="{8CB284E8-5A4E-4408-B614-60456094C241}">
      <formula1>Tipo10</formula1>
    </dataValidation>
    <dataValidation type="list" allowBlank="1" showInputMessage="1" showErrorMessage="1" sqref="I39:J39" xr:uid="{E0BC5CFD-3D6F-46E1-B8A8-78D055E899B8}">
      <formula1>Tipo7</formula1>
    </dataValidation>
    <dataValidation type="list" allowBlank="1" showInputMessage="1" showErrorMessage="1" sqref="F39:G39" xr:uid="{ABEC1BAF-89E1-4DB9-B21D-52B2801F864E}">
      <formula1>Tipo6</formula1>
    </dataValidation>
    <dataValidation type="list" allowBlank="1" showInputMessage="1" showErrorMessage="1" sqref="C39:D39" xr:uid="{1822306B-E909-466F-BE86-463762BF904B}">
      <formula1>tipo5</formula1>
    </dataValidation>
    <dataValidation type="list" allowBlank="1" showInputMessage="1" showErrorMessage="1" sqref="F13:G13" xr:uid="{9823A26C-722E-4E6F-9BE6-ADC11AF07736}">
      <formula1>Tipo2</formula1>
    </dataValidation>
    <dataValidation type="list" allowBlank="1" showInputMessage="1" showErrorMessage="1" sqref="L65" xr:uid="{5E825AE5-F105-4FDA-B673-7D54A42710E9}">
      <formula1>Tipo12</formula1>
    </dataValidation>
    <dataValidation type="list" allowBlank="1" showInputMessage="1" showErrorMessage="1" sqref="I65" xr:uid="{3963140D-9B07-4796-ADDE-079765E18419}">
      <formula1>Tipo11</formula1>
    </dataValidation>
    <dataValidation type="list" allowBlank="1" showInputMessage="1" showErrorMessage="1" sqref="C65" xr:uid="{575B1C0F-0B0D-4F10-B267-F5BCCFE8DA54}">
      <formula1>Tipo9</formula1>
    </dataValidation>
    <dataValidation type="list" allowBlank="1" showInputMessage="1" showErrorMessage="1" sqref="L39" xr:uid="{AE9A1C27-ED69-4007-BC69-BEDC2A7EC70B}">
      <formula1>Tipo8</formula1>
    </dataValidation>
    <dataValidation type="list" allowBlank="1" showInputMessage="1" showErrorMessage="1" sqref="L13" xr:uid="{471BDDB1-4443-48EA-AAF5-E8BD6A59BF9C}">
      <formula1>Tipo4</formula1>
    </dataValidation>
    <dataValidation type="list" allowBlank="1" showInputMessage="1" showErrorMessage="1" sqref="I13" xr:uid="{70FA0893-6F99-471A-A391-14DDF3528F21}">
      <formula1>Tipo3</formula1>
    </dataValidation>
    <dataValidation type="list" allowBlank="1" showInputMessage="1" showErrorMessage="1" sqref="C13" xr:uid="{4E86FA53-D55A-480F-9314-E4185EEEFCD7}">
      <formula1>Tipo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B962844-D240-4362-84C8-21966F283A56}">
          <x14:formula1>
            <xm:f>Plan4!$A$20:$D$20</xm:f>
          </x14:formula1>
          <xm:sqref>C7:D7</xm:sqref>
        </x14:dataValidation>
        <x14:dataValidation type="list" allowBlank="1" showInputMessage="1" showErrorMessage="1" xr:uid="{E804058F-7A8A-4139-AD00-00F107840ECF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0A69C8B4-91BD-4DBE-99F2-8DC8DECFC20D}">
          <x14:formula1>
            <xm:f>Plan1!$N$6:$N$8</xm:f>
          </x14:formula1>
          <xm:sqref>C64 L64 I64 F64</xm:sqref>
        </x14:dataValidation>
        <x14:dataValidation type="list" allowBlank="1" showInputMessage="1" showErrorMessage="1" xr:uid="{CC56AEB2-A736-4D2C-B1A4-EAD033CD6BEA}">
          <x14:formula1>
            <xm:f>Plan4!$A$1:$C$1</xm:f>
          </x14:formula1>
          <xm:sqref>C12 L38 I12 L12 I38 C38 F38 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B3AA8-574B-407F-B0B7-2BEE7AE747D1}">
  <sheetPr codeName="Plan8">
    <pageSetUpPr fitToPage="1"/>
  </sheetPr>
  <dimension ref="A1:U149"/>
  <sheetViews>
    <sheetView showGridLines="0" showRowColHeaders="0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145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20</v>
      </c>
      <c r="D14" s="3" t="s">
        <v>2</v>
      </c>
      <c r="F14" s="22">
        <v>50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163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10.26</v>
      </c>
      <c r="F27" s="15">
        <f>IF(F12&gt;0,ROUND(F26*F14/2*F24*COS(PI()/180*F16),2)," ")</f>
        <v>-24.53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7.5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151.69999999999999</v>
      </c>
      <c r="D29" s="3" t="s">
        <v>1</v>
      </c>
      <c r="F29" s="15">
        <f>IF(F12&gt;0,(F25*F14^2)/(8*F15)," ")</f>
        <v>948.12499999999989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151.69999999999999</v>
      </c>
      <c r="D30" s="16"/>
      <c r="E30" s="16"/>
      <c r="F30" s="15">
        <f>IF(F12=0,"",ROUND(F29*COS(PI()/180*F16),2))</f>
        <v>-906.7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277.2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820.39996488736858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 t="s">
        <v>85</v>
      </c>
      <c r="D33" s="60"/>
      <c r="E33" s="27"/>
      <c r="F33" s="28">
        <f>IF(C12=0,"",C32*C18/(C17*0.9-0.6-0.1))</f>
        <v>973.35589054433535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159.8391723244541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-913.71728396005119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335.47341869367733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991.84589054433536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159.8391723244541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992 daN 160°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973 daN 160°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(3)'!C8,Plan1!D57:E68,2,FALSE),IF(C7=Plan1!C69,VLOOKUP('Ponto (3)'!C8,Plan1!D69:E72,2,FALSE),IF(C7=Plan1!C73,VLOOKUP('Ponto (3)'!C8,Plan1!D73:E76,2,FALSE),IF(C7=Plan1!C77,VLOOKUP('Ponto (3)'!C8,Plan1!D77:E77,2,FALSE),0))))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13" xr:uid="{29B03E8E-31C8-4206-8247-E5DC4EDA26FF}">
      <formula1>Tipo</formula1>
    </dataValidation>
    <dataValidation type="list" allowBlank="1" showInputMessage="1" showErrorMessage="1" sqref="I13" xr:uid="{2436BF99-9B61-4BEF-8D51-CA4DB00BCD2E}">
      <formula1>Tipo3</formula1>
    </dataValidation>
    <dataValidation type="list" allowBlank="1" showInputMessage="1" showErrorMessage="1" sqref="L13" xr:uid="{9FF17DE4-43BC-4190-970A-AD92EE86B57F}">
      <formula1>Tipo4</formula1>
    </dataValidation>
    <dataValidation type="list" allowBlank="1" showInputMessage="1" showErrorMessage="1" sqref="L39" xr:uid="{A1C2AAF2-2E8C-4A79-9353-B313F468346E}">
      <formula1>Tipo8</formula1>
    </dataValidation>
    <dataValidation type="list" allowBlank="1" showInputMessage="1" showErrorMessage="1" sqref="C65" xr:uid="{6B957812-8A29-4961-B87D-21A0CCE46BA8}">
      <formula1>Tipo9</formula1>
    </dataValidation>
    <dataValidation type="list" allowBlank="1" showInputMessage="1" showErrorMessage="1" sqref="I65" xr:uid="{58E2CD82-019B-4A1B-8C83-43C27331EE22}">
      <formula1>Tipo11</formula1>
    </dataValidation>
    <dataValidation type="list" allowBlank="1" showInputMessage="1" showErrorMessage="1" sqref="L65" xr:uid="{E6D575AF-EF8A-4358-9171-A46212B6B794}">
      <formula1>Tipo12</formula1>
    </dataValidation>
    <dataValidation type="list" allowBlank="1" showInputMessage="1" showErrorMessage="1" sqref="F13:G13" xr:uid="{FE5B0393-872C-47D4-9830-5416EEDE43FA}">
      <formula1>Tipo2</formula1>
    </dataValidation>
    <dataValidation type="list" allowBlank="1" showInputMessage="1" showErrorMessage="1" sqref="C39:D39" xr:uid="{B01D98AB-8B40-4C11-8A3D-93FDF7C73803}">
      <formula1>tipo5</formula1>
    </dataValidation>
    <dataValidation type="list" allowBlank="1" showInputMessage="1" showErrorMessage="1" sqref="F39:G39" xr:uid="{7D3AE9E5-C6C3-453E-A7FB-186D877D21AF}">
      <formula1>Tipo6</formula1>
    </dataValidation>
    <dataValidation type="list" allowBlank="1" showInputMessage="1" showErrorMessage="1" sqref="I39:J39" xr:uid="{B01AB76B-175D-4B50-8AF7-BCAA554220B5}">
      <formula1>Tipo7</formula1>
    </dataValidation>
    <dataValidation type="list" allowBlank="1" showInputMessage="1" showErrorMessage="1" sqref="F65:G65" xr:uid="{86A51A0B-074F-44DC-8EE4-1A80AB318CA7}">
      <formula1>Tipo10</formula1>
    </dataValidation>
    <dataValidation type="list" allowBlank="1" showInputMessage="1" showErrorMessage="1" sqref="C8" xr:uid="{72B7A452-A904-4C02-999F-B6EE092D1DFB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8A62404-B696-4E31-A4C8-B7F238ACED92}">
          <x14:formula1>
            <xm:f>Plan4!$A$1:$C$1</xm:f>
          </x14:formula1>
          <xm:sqref>C12 L38 I12 L12 I38 C38 F38 F12</xm:sqref>
        </x14:dataValidation>
        <x14:dataValidation type="list" allowBlank="1" showInputMessage="1" showErrorMessage="1" xr:uid="{EA4F8C05-3CEC-4B78-A944-26DB6CF3232D}">
          <x14:formula1>
            <xm:f>Plan1!$N$6:$N$8</xm:f>
          </x14:formula1>
          <xm:sqref>C64 L64 I64 F64</xm:sqref>
        </x14:dataValidation>
        <x14:dataValidation type="list" allowBlank="1" showInputMessage="1" showErrorMessage="1" xr:uid="{FEBF11CF-06FF-4D79-AA67-B35C4C30C1CE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FE98A9DF-0D22-4325-9CC3-F2C13568B591}">
          <x14:formula1>
            <xm:f>Plan4!$A$20:$D$20</xm:f>
          </x14:formula1>
          <xm:sqref>C7:D7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F563A-A0FB-466B-8C17-45823D126138}">
  <sheetPr codeName="Plan9">
    <pageSetUpPr fitToPage="1"/>
  </sheetPr>
  <dimension ref="A1:U149"/>
  <sheetViews>
    <sheetView showGridLines="0" showRowColHeaders="0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144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20</v>
      </c>
      <c r="D14" s="3" t="s">
        <v>2</v>
      </c>
      <c r="F14" s="22">
        <v>42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180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10.26</v>
      </c>
      <c r="F27" s="15">
        <f>IF(F12&gt;0,ROUND(F26*F14/2*F24*COS(PI()/180*F16),2)," ")</f>
        <v>-21.54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151.69999999999999</v>
      </c>
      <c r="D29" s="3" t="s">
        <v>1</v>
      </c>
      <c r="F29" s="15">
        <f>IF(F12&gt;0,(F25*F14^2)/(8*F15)," ")</f>
        <v>668.99699999999996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151.69999999999999</v>
      </c>
      <c r="D30" s="16"/>
      <c r="E30" s="16"/>
      <c r="F30" s="15">
        <f>IF(F12=0,"",ROUND(F29*COS(PI()/180*F16),2))</f>
        <v>-669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528.57999999999993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 t="s">
        <v>85</v>
      </c>
      <c r="D33" s="60"/>
      <c r="E33" s="27"/>
      <c r="F33" s="28">
        <f>IF(C12=0,"",C32*C18/(C17*0.9-0.6-0.1))</f>
        <v>627.12881355932188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180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 t="s">
        <v>67</v>
      </c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 t="s">
        <v>25</v>
      </c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>
        <v>30</v>
      </c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>
        <v>0.5</v>
      </c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>
        <v>90</v>
      </c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>
        <v>9.3000000000000007</v>
      </c>
      <c r="D43" s="3" t="s">
        <v>2</v>
      </c>
      <c r="M43" s="6"/>
    </row>
    <row r="44" spans="2:13" ht="14.4" x14ac:dyDescent="0.3">
      <c r="B44" s="8" t="s">
        <v>9</v>
      </c>
      <c r="C44" s="21">
        <v>9.1</v>
      </c>
      <c r="D44" s="3" t="s">
        <v>2</v>
      </c>
      <c r="M44" s="6"/>
    </row>
    <row r="45" spans="2:13" ht="14.4" hidden="1" x14ac:dyDescent="0.3">
      <c r="B45" s="8" t="s">
        <v>54</v>
      </c>
      <c r="C45" s="3">
        <f>IF(C38&gt;0,VLOOKUP(C39,Plan1!$C$3:$E$34,3,0)," ")</f>
        <v>0.217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>
        <f>IF(C38&gt;0,VLOOKUP(C39,Plan1!$C$3:$E$34,2,0)," ")</f>
        <v>1.0199999999999999E-2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>
        <f>IF(C38&gt;0,VLOOKUP(C38,Plan1!$N$1:$O$7,2,0)," ")</f>
        <v>3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>
        <f>IF(C38&gt;0,C47*C46+C49," ")</f>
        <v>3.0599999999999995E-2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>
        <f>IF(C38&gt;0,C45*C47+C48," ")</f>
        <v>0.65100000000000002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>
        <f>IF(C38&gt;0,ROUND(C52*C40/2*C50*COS(PI()/180*C42),2)," ")</f>
        <v>0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>
        <f>IF(C38&gt;0,ROUND(C52*C40/2*C50*SIN(PI()/180*C42),2)," ")</f>
        <v>7.78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>
        <f>IF(C38&gt;0,(C51*C40^2)/(8*C41)," ")</f>
        <v>146.47499999999999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>
        <f>IF(C38=0,"",ROUND(C55*COS(PI()/180*C42),2))</f>
        <v>0</v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>
        <f>IF(C38=0,"",ROUND(C55*SIN(PI()/180*C42),2))</f>
        <v>146.47999999999999</v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154.26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>
        <f>IF(C38=0,"",C58*C44/(C43*0.9-0.6-0.1))</f>
        <v>183.02033898305078</v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>
        <f>IF(C58=0,"",IF(SUM(C56:L56)=0,ROUNDUP(ATAN(SUM(C57:L57)/1)*180/PI(),0),IF(SUM(C56:L56)&lt;0,ATAN(SUM(C57:L57)/SUM(C56:L56))*180/PI()+180,ATAN(SUM(C57:L57)/SUM(C56:L56))*180/PI())))</f>
        <v>90</v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-627.12881355932188</v>
      </c>
      <c r="F137" s="15">
        <f>IF(C38&gt;0,IF(F59=0,"",F59*COS(PI()/180*F60)),0)</f>
        <v>1.1211354276096826E-14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7.6832589696087928E-14</v>
      </c>
      <c r="F138" s="15">
        <f>IF(C38&gt;0,IF(F59=0,"",F59*SIN(PI()/180*F60)),0)</f>
        <v>183.02033898305078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671.77936412419388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163.73072169315324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672 daN 164°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627 daN 180°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183 daN 90°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(4)'!C8,Plan1!D57:E68,2,FALSE),IF(C7=Plan1!C69,VLOOKUP('Ponto (4)'!C8,Plan1!D69:E72,2,FALSE),IF(C7=Plan1!C73,VLOOKUP('Ponto (4)'!C8,Plan1!D73:E76,2,FALSE),IF(C7=Plan1!C77,VLOOKUP('Ponto (4)'!C8,Plan1!D77:E77,2,FALSE),0))))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8" xr:uid="{5D30F38D-55DB-491E-82CF-0E181053472F}">
      <formula1>Poste</formula1>
    </dataValidation>
    <dataValidation type="list" allowBlank="1" showInputMessage="1" showErrorMessage="1" sqref="F65:G65" xr:uid="{EC16DE30-77A3-48F0-8509-D3259643371C}">
      <formula1>Tipo10</formula1>
    </dataValidation>
    <dataValidation type="list" allowBlank="1" showInputMessage="1" showErrorMessage="1" sqref="I39:J39" xr:uid="{CD76C1DE-C06D-4D37-9192-14AC9574475D}">
      <formula1>Tipo7</formula1>
    </dataValidation>
    <dataValidation type="list" allowBlank="1" showInputMessage="1" showErrorMessage="1" sqref="F39:G39" xr:uid="{6C6C2114-D8B9-480F-8FFB-0F0CC762973C}">
      <formula1>Tipo6</formula1>
    </dataValidation>
    <dataValidation type="list" allowBlank="1" showInputMessage="1" showErrorMessage="1" sqref="C39:D39" xr:uid="{CC3007B2-EEA7-4DEF-BE4E-A53DC9E835CF}">
      <formula1>tipo5</formula1>
    </dataValidation>
    <dataValidation type="list" allowBlank="1" showInputMessage="1" showErrorMessage="1" sqref="F13:G13" xr:uid="{45771933-0732-4A88-9DA8-4629A93C23CE}">
      <formula1>Tipo2</formula1>
    </dataValidation>
    <dataValidation type="list" allowBlank="1" showInputMessage="1" showErrorMessage="1" sqref="L65" xr:uid="{B6B977DD-9D3A-451A-A7C9-11A84972DFF1}">
      <formula1>Tipo12</formula1>
    </dataValidation>
    <dataValidation type="list" allowBlank="1" showInputMessage="1" showErrorMessage="1" sqref="I65" xr:uid="{F5F5D039-5EE1-4E14-AB52-502E81AB1EF3}">
      <formula1>Tipo11</formula1>
    </dataValidation>
    <dataValidation type="list" allowBlank="1" showInputMessage="1" showErrorMessage="1" sqref="C65" xr:uid="{2E100829-69E2-496C-A7CE-A8C279AAAB0C}">
      <formula1>Tipo9</formula1>
    </dataValidation>
    <dataValidation type="list" allowBlank="1" showInputMessage="1" showErrorMessage="1" sqref="L39" xr:uid="{00A4F9FC-C20D-4373-8310-198DDB3AB72E}">
      <formula1>Tipo8</formula1>
    </dataValidation>
    <dataValidation type="list" allowBlank="1" showInputMessage="1" showErrorMessage="1" sqref="L13" xr:uid="{AFC515E8-616B-4829-BCEB-4B4F2F97CE43}">
      <formula1>Tipo4</formula1>
    </dataValidation>
    <dataValidation type="list" allowBlank="1" showInputMessage="1" showErrorMessage="1" sqref="I13" xr:uid="{404E109C-FB25-4BA8-8025-A39F3B99BBD6}">
      <formula1>Tipo3</formula1>
    </dataValidation>
    <dataValidation type="list" allowBlank="1" showInputMessage="1" showErrorMessage="1" sqref="C13" xr:uid="{5B9A0898-AD2A-4639-BCC7-7B1CD2EFFDE5}">
      <formula1>Tipo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B51C916-20AB-43B6-A514-BCB8528CC8C1}">
          <x14:formula1>
            <xm:f>Plan4!$A$20:$D$20</xm:f>
          </x14:formula1>
          <xm:sqref>C7:D7</xm:sqref>
        </x14:dataValidation>
        <x14:dataValidation type="list" allowBlank="1" showInputMessage="1" showErrorMessage="1" xr:uid="{8412F09F-5FAC-4DC2-AC93-AA3ACAFB9122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59060D91-F6F8-4644-9867-9E32CF911D14}">
          <x14:formula1>
            <xm:f>Plan1!$N$6:$N$8</xm:f>
          </x14:formula1>
          <xm:sqref>C64 L64 I64 F64</xm:sqref>
        </x14:dataValidation>
        <x14:dataValidation type="list" allowBlank="1" showInputMessage="1" showErrorMessage="1" xr:uid="{2F672D05-57B1-4492-8494-234889309F23}">
          <x14:formula1>
            <xm:f>Plan4!$A$1:$C$1</xm:f>
          </x14:formula1>
          <xm:sqref>C12 L38 I12 L12 I38 C38 F38 F12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82613-6575-4796-8A3A-DEAE37BBCEEC}">
  <sheetPr codeName="Plan10">
    <pageSetUpPr fitToPage="1"/>
  </sheetPr>
  <dimension ref="A1:U149"/>
  <sheetViews>
    <sheetView showGridLines="0" showRowColHeaders="0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143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41</v>
      </c>
      <c r="D14" s="3" t="s">
        <v>2</v>
      </c>
      <c r="F14" s="22">
        <v>42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180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21.03</v>
      </c>
      <c r="F27" s="15">
        <f>IF(F12&gt;0,ROUND(F26*F14/2*F24*COS(PI()/180*F16),2)," ")</f>
        <v>-21.54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637.51924999999994</v>
      </c>
      <c r="D29" s="3" t="s">
        <v>1</v>
      </c>
      <c r="F29" s="15">
        <f>IF(F12&gt;0,(F25*F14^2)/(8*F15)," ")</f>
        <v>668.99699999999996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637.52</v>
      </c>
      <c r="D30" s="16"/>
      <c r="E30" s="16"/>
      <c r="F30" s="15">
        <f>IF(F12=0,"",ROUND(F29*COS(PI()/180*F16),2))</f>
        <v>-669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31.990000000000016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37.954237288135602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180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-37.954237288135602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4.6499575170794468E-15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56.444237288135596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180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56 daN 180°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38 daN 180°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(5)'!C8,Plan1!D57:E68,2,FALSE),IF(C7=Plan1!C69,VLOOKUP('Ponto (5)'!C8,Plan1!D69:E72,2,FALSE),IF(C7=Plan1!C73,VLOOKUP('Ponto (5)'!C8,Plan1!D73:E76,2,FALSE),IF(C7=Plan1!C77,VLOOKUP('Ponto (5)'!C8,Plan1!D77:E77,2,FALSE),0))))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13" xr:uid="{50582368-8016-49DD-82B9-3497F47CB3E1}">
      <formula1>Tipo</formula1>
    </dataValidation>
    <dataValidation type="list" allowBlank="1" showInputMessage="1" showErrorMessage="1" sqref="I13" xr:uid="{51AA7B59-1CE6-4033-8995-498565E3E658}">
      <formula1>Tipo3</formula1>
    </dataValidation>
    <dataValidation type="list" allowBlank="1" showInputMessage="1" showErrorMessage="1" sqref="L13" xr:uid="{82461E4B-D67A-47C7-913A-A6D5F19074D1}">
      <formula1>Tipo4</formula1>
    </dataValidation>
    <dataValidation type="list" allowBlank="1" showInputMessage="1" showErrorMessage="1" sqref="L39" xr:uid="{7AF4DFD4-7B11-4F75-A94F-FA57FA24696C}">
      <formula1>Tipo8</formula1>
    </dataValidation>
    <dataValidation type="list" allowBlank="1" showInputMessage="1" showErrorMessage="1" sqref="C65" xr:uid="{1ED7FAF3-72AD-46A0-BDB5-8A02B15694B3}">
      <formula1>Tipo9</formula1>
    </dataValidation>
    <dataValidation type="list" allowBlank="1" showInputMessage="1" showErrorMessage="1" sqref="I65" xr:uid="{143EB403-CC0B-456F-9DA1-EC47D3E694A4}">
      <formula1>Tipo11</formula1>
    </dataValidation>
    <dataValidation type="list" allowBlank="1" showInputMessage="1" showErrorMessage="1" sqref="L65" xr:uid="{BC82D280-3969-4442-96F8-C0451D517872}">
      <formula1>Tipo12</formula1>
    </dataValidation>
    <dataValidation type="list" allowBlank="1" showInputMessage="1" showErrorMessage="1" sqref="F13:G13" xr:uid="{1DD43DC1-E5B4-44D7-B1D8-A069606205B3}">
      <formula1>Tipo2</formula1>
    </dataValidation>
    <dataValidation type="list" allowBlank="1" showInputMessage="1" showErrorMessage="1" sqref="C39:D39" xr:uid="{686B4DEB-2060-4B38-840A-A84102A7BD60}">
      <formula1>tipo5</formula1>
    </dataValidation>
    <dataValidation type="list" allowBlank="1" showInputMessage="1" showErrorMessage="1" sqref="F39:G39" xr:uid="{E19C4687-01E9-41D1-BA14-E4D05D5901DD}">
      <formula1>Tipo6</formula1>
    </dataValidation>
    <dataValidation type="list" allowBlank="1" showInputMessage="1" showErrorMessage="1" sqref="I39:J39" xr:uid="{CFF02C37-C8FF-4CC2-A059-43B73130892F}">
      <formula1>Tipo7</formula1>
    </dataValidation>
    <dataValidation type="list" allowBlank="1" showInputMessage="1" showErrorMessage="1" sqref="F65:G65" xr:uid="{180423C8-4AE9-47A6-9467-BCF7A7B1C853}">
      <formula1>Tipo10</formula1>
    </dataValidation>
    <dataValidation type="list" allowBlank="1" showInputMessage="1" showErrorMessage="1" sqref="C8" xr:uid="{85DBC8D0-9B88-49E6-8704-90C1E6662ABA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B2A98C6-8E07-4FC0-BBEE-02BF5792E11C}">
          <x14:formula1>
            <xm:f>Plan4!$A$1:$C$1</xm:f>
          </x14:formula1>
          <xm:sqref>C12 L38 I12 L12 I38 C38 F38 F12</xm:sqref>
        </x14:dataValidation>
        <x14:dataValidation type="list" allowBlank="1" showInputMessage="1" showErrorMessage="1" xr:uid="{B275D206-9055-4D7B-BA8A-DBC5D70051F4}">
          <x14:formula1>
            <xm:f>Plan1!$N$6:$N$8</xm:f>
          </x14:formula1>
          <xm:sqref>C64 L64 I64 F64</xm:sqref>
        </x14:dataValidation>
        <x14:dataValidation type="list" allowBlank="1" showInputMessage="1" showErrorMessage="1" xr:uid="{BC82BB2C-03BC-4BB0-ADE4-D359A64D1C0A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6293BE2D-0114-4282-9678-62B9CAB3A6E1}">
          <x14:formula1>
            <xm:f>Plan4!$A$20:$D$20</xm:f>
          </x14:formula1>
          <xm:sqref>C7:D7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3BF28-0FDB-4BDA-857A-2E624BCDC877}">
  <sheetPr codeName="Plan11">
    <pageSetUpPr fitToPage="1"/>
  </sheetPr>
  <dimension ref="A1:U149"/>
  <sheetViews>
    <sheetView showGridLines="0" showRowColHeaders="0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142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41</v>
      </c>
      <c r="D14" s="3" t="s">
        <v>2</v>
      </c>
      <c r="F14" s="22">
        <v>40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180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21.03</v>
      </c>
      <c r="F27" s="15">
        <f>IF(F12&gt;0,ROUND(F26*F14/2*F24*COS(PI()/180*F16),2)," ")</f>
        <v>-20.52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637.51924999999994</v>
      </c>
      <c r="D29" s="3" t="s">
        <v>1</v>
      </c>
      <c r="F29" s="15">
        <f>IF(F12&gt;0,(F25*F14^2)/(8*F15)," ")</f>
        <v>606.79999999999995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637.52</v>
      </c>
      <c r="D30" s="16"/>
      <c r="E30" s="16"/>
      <c r="F30" s="15">
        <f>IF(F12=0,"",ROUND(F29*COS(PI()/180*F16),2))</f>
        <v>-606.79999999999995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31.230000000000029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37.052542372881383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0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37.052542372881383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0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55.542542372881385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0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56 daN 0°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37 daN 0°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(6)'!C8,Plan1!D57:E68,2,FALSE),IF(C7=Plan1!C69,VLOOKUP('Ponto (6)'!C8,Plan1!D69:E72,2,FALSE),IF(C7=Plan1!C73,VLOOKUP('Ponto (6)'!C8,Plan1!D73:E76,2,FALSE),IF(C7=Plan1!C77,VLOOKUP('Ponto (6)'!C8,Plan1!D77:E77,2,FALSE),0))))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8" xr:uid="{0B378342-FC1E-415B-9F41-96EEC08C0F39}">
      <formula1>Poste</formula1>
    </dataValidation>
    <dataValidation type="list" allowBlank="1" showInputMessage="1" showErrorMessage="1" sqref="F65:G65" xr:uid="{B79A28FD-1573-4C17-8064-4CECD25FC546}">
      <formula1>Tipo10</formula1>
    </dataValidation>
    <dataValidation type="list" allowBlank="1" showInputMessage="1" showErrorMessage="1" sqref="I39:J39" xr:uid="{9B6932DF-27AC-4EC4-AF1E-2BFB1882AB98}">
      <formula1>Tipo7</formula1>
    </dataValidation>
    <dataValidation type="list" allowBlank="1" showInputMessage="1" showErrorMessage="1" sqref="F39:G39" xr:uid="{213650E0-8788-4E04-A8A9-A7CDDE6BBF24}">
      <formula1>Tipo6</formula1>
    </dataValidation>
    <dataValidation type="list" allowBlank="1" showInputMessage="1" showErrorMessage="1" sqref="C39:D39" xr:uid="{7FA6111C-88C7-4FF1-B58D-9D8D66127137}">
      <formula1>tipo5</formula1>
    </dataValidation>
    <dataValidation type="list" allowBlank="1" showInputMessage="1" showErrorMessage="1" sqref="F13:G13" xr:uid="{E5F7DE17-5A7D-4677-B003-1BAE8A929565}">
      <formula1>Tipo2</formula1>
    </dataValidation>
    <dataValidation type="list" allowBlank="1" showInputMessage="1" showErrorMessage="1" sqref="L65" xr:uid="{D2A6995B-ED5D-40FD-9DD6-FE3EA8C4D3CE}">
      <formula1>Tipo12</formula1>
    </dataValidation>
    <dataValidation type="list" allowBlank="1" showInputMessage="1" showErrorMessage="1" sqref="I65" xr:uid="{948EA5DE-B339-42FC-B7D6-6030AD77D6EC}">
      <formula1>Tipo11</formula1>
    </dataValidation>
    <dataValidation type="list" allowBlank="1" showInputMessage="1" showErrorMessage="1" sqref="C65" xr:uid="{D1628117-BAAE-457F-9024-9D46CD026FD6}">
      <formula1>Tipo9</formula1>
    </dataValidation>
    <dataValidation type="list" allowBlank="1" showInputMessage="1" showErrorMessage="1" sqref="L39" xr:uid="{12B2111A-3A36-42F0-A6FE-26DB011DB514}">
      <formula1>Tipo8</formula1>
    </dataValidation>
    <dataValidation type="list" allowBlank="1" showInputMessage="1" showErrorMessage="1" sqref="L13" xr:uid="{90230F49-6CFA-4987-85FD-08CB645F0B13}">
      <formula1>Tipo4</formula1>
    </dataValidation>
    <dataValidation type="list" allowBlank="1" showInputMessage="1" showErrorMessage="1" sqref="I13" xr:uid="{2EDF90E4-E3F9-4247-8115-0E60F3BA83C3}">
      <formula1>Tipo3</formula1>
    </dataValidation>
    <dataValidation type="list" allowBlank="1" showInputMessage="1" showErrorMessage="1" sqref="C13" xr:uid="{3F9A655A-CD35-4640-BA6C-97A666BFA6DF}">
      <formula1>Tipo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A223242-FB10-4DC2-B2A3-D4FCDE8FC293}">
          <x14:formula1>
            <xm:f>Plan4!$A$20:$D$20</xm:f>
          </x14:formula1>
          <xm:sqref>C7:D7</xm:sqref>
        </x14:dataValidation>
        <x14:dataValidation type="list" allowBlank="1" showInputMessage="1" showErrorMessage="1" xr:uid="{E2DB64B8-3AC7-4249-98E7-FEA0AC618BC1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514A53FB-89A9-4E2E-9E4B-B5030DA484F6}">
          <x14:formula1>
            <xm:f>Plan1!$N$6:$N$8</xm:f>
          </x14:formula1>
          <xm:sqref>C64 L64 I64 F64</xm:sqref>
        </x14:dataValidation>
        <x14:dataValidation type="list" allowBlank="1" showInputMessage="1" showErrorMessage="1" xr:uid="{F6F45498-9D06-4F8C-ABEA-0F5F94CA47F9}">
          <x14:formula1>
            <xm:f>Plan4!$A$1:$C$1</xm:f>
          </x14:formula1>
          <xm:sqref>C12 L38 I12 L12 I38 C38 F38 F12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7F676-5370-4551-AF83-F8B6D612132A}">
  <sheetPr codeName="Plan12">
    <pageSetUpPr fitToPage="1"/>
  </sheetPr>
  <dimension ref="A1:U149"/>
  <sheetViews>
    <sheetView showGridLines="0" showRowColHeaders="0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135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40</v>
      </c>
      <c r="D14" s="3" t="s">
        <v>2</v>
      </c>
      <c r="F14" s="22">
        <v>40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174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20.52</v>
      </c>
      <c r="F27" s="15">
        <f>IF(F12&gt;0,ROUND(F26*F14/2*F24*COS(PI()/180*F16),2)," ")</f>
        <v>-20.399999999999999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2.14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606.79999999999995</v>
      </c>
      <c r="D29" s="3" t="s">
        <v>1</v>
      </c>
      <c r="F29" s="15">
        <f>IF(F12&gt;0,(F25*F14^2)/(8*F15)," ")</f>
        <v>606.79999999999995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606.79999999999995</v>
      </c>
      <c r="D30" s="16"/>
      <c r="E30" s="16"/>
      <c r="F30" s="15">
        <f>IF(F12=0,"",ROUND(F29*COS(PI()/180*F16),2))</f>
        <v>-603.48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63.43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65.66018874969852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77.901918855574507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87.003806362765474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4.0719031980279583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77.795427665939371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96.391918855574502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87.003806362765474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96 daN 87°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78 daN 87°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(8)'!C8,Plan1!D57:E68,2,FALSE),IF(C7=Plan1!C69,VLOOKUP('Ponto (8)'!C8,Plan1!D69:E72,2,FALSE),IF(C7=Plan1!C73,VLOOKUP('Ponto (8)'!C8,Plan1!D73:E76,2,FALSE),IF(C7=Plan1!C77,VLOOKUP('Ponto (8)'!C8,Plan1!D77:E77,2,FALSE),0))))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13" xr:uid="{091AC037-C505-48FE-B18E-CDD75F3E75A8}">
      <formula1>Tipo</formula1>
    </dataValidation>
    <dataValidation type="list" allowBlank="1" showInputMessage="1" showErrorMessage="1" sqref="I13" xr:uid="{5D27673C-2B8E-45BA-A5D7-406BCBBD000A}">
      <formula1>Tipo3</formula1>
    </dataValidation>
    <dataValidation type="list" allowBlank="1" showInputMessage="1" showErrorMessage="1" sqref="L13" xr:uid="{E42C780A-93A7-4E35-A3A8-A6F7063850E5}">
      <formula1>Tipo4</formula1>
    </dataValidation>
    <dataValidation type="list" allowBlank="1" showInputMessage="1" showErrorMessage="1" sqref="L39" xr:uid="{DB840BFA-E730-4476-8C07-83CE294E5473}">
      <formula1>Tipo8</formula1>
    </dataValidation>
    <dataValidation type="list" allowBlank="1" showInputMessage="1" showErrorMessage="1" sqref="C65" xr:uid="{EDFA1618-A6D6-49DC-9C1D-8B4A9709BAD2}">
      <formula1>Tipo9</formula1>
    </dataValidation>
    <dataValidation type="list" allowBlank="1" showInputMessage="1" showErrorMessage="1" sqref="I65" xr:uid="{99027C15-D359-4777-8279-355E9CDB3917}">
      <formula1>Tipo11</formula1>
    </dataValidation>
    <dataValidation type="list" allowBlank="1" showInputMessage="1" showErrorMessage="1" sqref="L65" xr:uid="{C3AD51AD-EA58-4B51-BB68-64805B8F981C}">
      <formula1>Tipo12</formula1>
    </dataValidation>
    <dataValidation type="list" allowBlank="1" showInputMessage="1" showErrorMessage="1" sqref="F13:G13" xr:uid="{6224F519-3A16-4F64-B924-FE42C084D616}">
      <formula1>Tipo2</formula1>
    </dataValidation>
    <dataValidation type="list" allowBlank="1" showInputMessage="1" showErrorMessage="1" sqref="C39:D39" xr:uid="{A4A9422D-CDB8-41E1-A5BD-3FD41A966DE7}">
      <formula1>tipo5</formula1>
    </dataValidation>
    <dataValidation type="list" allowBlank="1" showInputMessage="1" showErrorMessage="1" sqref="F39:G39" xr:uid="{330AD44E-C21D-4AF4-85DD-A2CC274E4A20}">
      <formula1>Tipo6</formula1>
    </dataValidation>
    <dataValidation type="list" allowBlank="1" showInputMessage="1" showErrorMessage="1" sqref="I39:J39" xr:uid="{50105BD0-FD1B-4A45-85E0-0CDA5C33B948}">
      <formula1>Tipo7</formula1>
    </dataValidation>
    <dataValidation type="list" allowBlank="1" showInputMessage="1" showErrorMessage="1" sqref="F65:G65" xr:uid="{881EB6B0-22BD-4743-8215-95E0279358B6}">
      <formula1>Tipo10</formula1>
    </dataValidation>
    <dataValidation type="list" allowBlank="1" showInputMessage="1" showErrorMessage="1" sqref="C8" xr:uid="{4D1B94DD-6DFC-4E14-BAAD-D0CB3B879C6F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B3EBD5B-3D43-47FC-B066-4A9A1D10E016}">
          <x14:formula1>
            <xm:f>Plan4!$A$1:$C$1</xm:f>
          </x14:formula1>
          <xm:sqref>C12 L38 I12 L12 I38 C38 F38 F12</xm:sqref>
        </x14:dataValidation>
        <x14:dataValidation type="list" allowBlank="1" showInputMessage="1" showErrorMessage="1" xr:uid="{A4DD9BE6-81D2-42BC-BBD9-01D5CDEC8933}">
          <x14:formula1>
            <xm:f>Plan1!$N$6:$N$8</xm:f>
          </x14:formula1>
          <xm:sqref>C64 L64 I64 F64</xm:sqref>
        </x14:dataValidation>
        <x14:dataValidation type="list" allowBlank="1" showInputMessage="1" showErrorMessage="1" xr:uid="{D200E110-A219-4F4D-9E10-014AECA35D56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4D103E8E-6AC9-4AB0-83E7-6117F1B46786}">
          <x14:formula1>
            <xm:f>Plan4!$A$20:$D$20</xm:f>
          </x14:formula1>
          <xm:sqref>C7:D7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B6AC2-9BC1-4C6B-9873-5C5BB262CB41}">
  <sheetPr codeName="Plan13">
    <pageSetUpPr fitToPage="1"/>
  </sheetPr>
  <dimension ref="A1:U149"/>
  <sheetViews>
    <sheetView showGridLines="0" showRowColHeaders="0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141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40</v>
      </c>
      <c r="D14" s="3" t="s">
        <v>2</v>
      </c>
      <c r="F14" s="22">
        <v>45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167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20.52</v>
      </c>
      <c r="F27" s="15">
        <f>IF(F12&gt;0,ROUND(F26*F14/2*F24*COS(PI()/180*F16),2)," ")</f>
        <v>-22.49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5.19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606.79999999999995</v>
      </c>
      <c r="D29" s="3" t="s">
        <v>1</v>
      </c>
      <c r="F29" s="15">
        <f>IF(F12&gt;0,(F25*F14^2)/(8*F15)," ")</f>
        <v>767.98124999999993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606.79999999999995</v>
      </c>
      <c r="D30" s="16"/>
      <c r="E30" s="16"/>
      <c r="F30" s="15">
        <f>IF(F12=0,"",ROUND(F29*COS(PI()/180*F16),2))</f>
        <v>-748.3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172.76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228.86334702815205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271.53278460967186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129.31937383814488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-172.05471264168003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210.06482089029416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290.02278460967187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129.31937383814488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290 daN 129°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272 daN 129°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(10)'!C8,Plan1!D57:E68,2,FALSE),IF(C7=Plan1!C69,VLOOKUP('Ponto (10)'!C8,Plan1!D69:E72,2,FALSE),IF(C7=Plan1!C73,VLOOKUP('Ponto (10)'!C8,Plan1!D73:E76,2,FALSE),IF(C7=Plan1!C77,VLOOKUP('Ponto (10)'!C8,Plan1!D77:E77,2,FALSE),0))))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disablePrompts="1" count="13">
    <dataValidation type="list" allowBlank="1" showInputMessage="1" showErrorMessage="1" sqref="C8" xr:uid="{E6CA9698-F321-4F6C-8FA3-B86AA7A2C8C3}">
      <formula1>Poste</formula1>
    </dataValidation>
    <dataValidation type="list" allowBlank="1" showInputMessage="1" showErrorMessage="1" sqref="F65:G65" xr:uid="{9011D502-B943-4355-ABCC-161239D82F7F}">
      <formula1>Tipo10</formula1>
    </dataValidation>
    <dataValidation type="list" allowBlank="1" showInputMessage="1" showErrorMessage="1" sqref="I39:J39" xr:uid="{44DE63F2-630E-4EEB-9209-C0B62D53C788}">
      <formula1>Tipo7</formula1>
    </dataValidation>
    <dataValidation type="list" allowBlank="1" showInputMessage="1" showErrorMessage="1" sqref="F39:G39" xr:uid="{8B5EC686-78A9-49B8-AECE-AC67652CD55D}">
      <formula1>Tipo6</formula1>
    </dataValidation>
    <dataValidation type="list" allowBlank="1" showInputMessage="1" showErrorMessage="1" sqref="C39:D39" xr:uid="{E2B41C73-C196-4024-BBE3-9FD0747B3CEC}">
      <formula1>tipo5</formula1>
    </dataValidation>
    <dataValidation type="list" allowBlank="1" showInputMessage="1" showErrorMessage="1" sqref="F13:G13" xr:uid="{4C13037F-3250-4EF3-B662-3829542C3926}">
      <formula1>Tipo2</formula1>
    </dataValidation>
    <dataValidation type="list" allowBlank="1" showInputMessage="1" showErrorMessage="1" sqref="L65" xr:uid="{F94FA1FF-0544-4E48-9AC0-C619DB765F7E}">
      <formula1>Tipo12</formula1>
    </dataValidation>
    <dataValidation type="list" allowBlank="1" showInputMessage="1" showErrorMessage="1" sqref="I65" xr:uid="{D1ED938C-91E7-4D90-BE75-BB69AB8E56EC}">
      <formula1>Tipo11</formula1>
    </dataValidation>
    <dataValidation type="list" allowBlank="1" showInputMessage="1" showErrorMessage="1" sqref="C65" xr:uid="{EA12B367-4453-444D-8A13-F9048C0402DF}">
      <formula1>Tipo9</formula1>
    </dataValidation>
    <dataValidation type="list" allowBlank="1" showInputMessage="1" showErrorMessage="1" sqref="L39" xr:uid="{A2772F43-DCFE-4E3A-8B5A-35EB3725C6D1}">
      <formula1>Tipo8</formula1>
    </dataValidation>
    <dataValidation type="list" allowBlank="1" showInputMessage="1" showErrorMessage="1" sqref="L13" xr:uid="{FE50A445-45FF-4D9E-B8C1-7AB1F680630E}">
      <formula1>Tipo4</formula1>
    </dataValidation>
    <dataValidation type="list" allowBlank="1" showInputMessage="1" showErrorMessage="1" sqref="I13" xr:uid="{B4C83886-39D1-4DB1-9257-90E683ED63F1}">
      <formula1>Tipo3</formula1>
    </dataValidation>
    <dataValidation type="list" allowBlank="1" showInputMessage="1" showErrorMessage="1" sqref="C13" xr:uid="{C6859BD9-58E9-42C7-912C-565E33B08828}">
      <formula1>Tipo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5F519926-B168-40D2-8426-0A05EC4A7A96}">
          <x14:formula1>
            <xm:f>Plan4!$A$20:$D$20</xm:f>
          </x14:formula1>
          <xm:sqref>C7:D7</xm:sqref>
        </x14:dataValidation>
        <x14:dataValidation type="list" allowBlank="1" showInputMessage="1" showErrorMessage="1" xr:uid="{C12D83B8-4A3D-4A83-B37A-2E8AD58E0DC6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97BB1ED0-8206-4CD4-8F0F-29FB6C59BBB9}">
          <x14:formula1>
            <xm:f>Plan1!$N$6:$N$8</xm:f>
          </x14:formula1>
          <xm:sqref>C64 L64 I64 F64</xm:sqref>
        </x14:dataValidation>
        <x14:dataValidation type="list" allowBlank="1" showInputMessage="1" showErrorMessage="1" xr:uid="{FB294A62-A7C8-4085-B1BA-B75FE4696DA3}">
          <x14:formula1>
            <xm:f>Plan4!$A$1:$C$1</xm:f>
          </x14:formula1>
          <xm:sqref>C12 L38 I12 L12 I38 C38 F38 F12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C026D-4703-454B-9AB1-D5A93B7585D6}">
  <sheetPr codeName="Plan14">
    <pageSetUpPr fitToPage="1"/>
  </sheetPr>
  <dimension ref="A1:U149"/>
  <sheetViews>
    <sheetView showGridLines="0" showRowColHeaders="0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140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23</v>
      </c>
      <c r="D14" s="3" t="s">
        <v>2</v>
      </c>
      <c r="F14" s="22">
        <v>45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171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11.8</v>
      </c>
      <c r="F27" s="15">
        <f>IF(F12&gt;0,ROUND(F26*F14/2*F24*COS(PI()/180*F16),2)," ")</f>
        <v>-22.8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3.61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200.62324999999998</v>
      </c>
      <c r="D29" s="3" t="s">
        <v>1</v>
      </c>
      <c r="F29" s="15">
        <f>IF(F12&gt;0,(F25*F14^2)/(8*F15)," ")</f>
        <v>767.98124999999993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200.62</v>
      </c>
      <c r="D30" s="16"/>
      <c r="E30" s="16"/>
      <c r="F30" s="15">
        <f>IF(F12=0,"",ROUND(F29*COS(PI()/180*F16),2))</f>
        <v>-758.53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120.14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582.2760823602141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690.83602991889791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167.84753457974907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-675.35500264719019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145.43053542333593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709.32602991889792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167.84753457974907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709 daN 168°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691 daN 168°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(13)'!C8,Plan1!D57:E68,2,FALSE),IF(C7=Plan1!C69,VLOOKUP('Ponto (13)'!C8,Plan1!D69:E72,2,FALSE),IF(C7=Plan1!C73,VLOOKUP('Ponto (13)'!C8,Plan1!D73:E76,2,FALSE),IF(C7=Plan1!C77,VLOOKUP('Ponto (13)'!C8,Plan1!D77:E77,2,FALSE),0))))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13" xr:uid="{A6697BA0-747A-4157-B4BA-28A61CCEFF99}">
      <formula1>Tipo</formula1>
    </dataValidation>
    <dataValidation type="list" allowBlank="1" showInputMessage="1" showErrorMessage="1" sqref="I13" xr:uid="{D6E84369-A69A-48EB-8C86-71FA531B01B1}">
      <formula1>Tipo3</formula1>
    </dataValidation>
    <dataValidation type="list" allowBlank="1" showInputMessage="1" showErrorMessage="1" sqref="L13" xr:uid="{7D4330D0-15E1-4141-BD03-8CF8EFF8A861}">
      <formula1>Tipo4</formula1>
    </dataValidation>
    <dataValidation type="list" allowBlank="1" showInputMessage="1" showErrorMessage="1" sqref="L39" xr:uid="{22E6A184-47C3-47E9-86DA-B24536320755}">
      <formula1>Tipo8</formula1>
    </dataValidation>
    <dataValidation type="list" allowBlank="1" showInputMessage="1" showErrorMessage="1" sqref="C65" xr:uid="{138D3DD5-9DAA-452F-AE1C-AAA8B432347D}">
      <formula1>Tipo9</formula1>
    </dataValidation>
    <dataValidation type="list" allowBlank="1" showInputMessage="1" showErrorMessage="1" sqref="I65" xr:uid="{3CCD5EEE-9F2A-4E15-A4AD-70D6E65D00D1}">
      <formula1>Tipo11</formula1>
    </dataValidation>
    <dataValidation type="list" allowBlank="1" showInputMessage="1" showErrorMessage="1" sqref="L65" xr:uid="{0DD14C29-9521-4B15-A519-4EC151F0AEF1}">
      <formula1>Tipo12</formula1>
    </dataValidation>
    <dataValidation type="list" allowBlank="1" showInputMessage="1" showErrorMessage="1" sqref="F13:G13" xr:uid="{BFAFB4B9-6581-4D08-97D0-C65F7D3ED7F2}">
      <formula1>Tipo2</formula1>
    </dataValidation>
    <dataValidation type="list" allowBlank="1" showInputMessage="1" showErrorMessage="1" sqref="C39:D39" xr:uid="{9DE09245-F54F-47CA-BD51-A42A4CC908AE}">
      <formula1>tipo5</formula1>
    </dataValidation>
    <dataValidation type="list" allowBlank="1" showInputMessage="1" showErrorMessage="1" sqref="F39:G39" xr:uid="{79BDB5FE-25C0-4E42-B2B9-CCBCE6E71A5F}">
      <formula1>Tipo6</formula1>
    </dataValidation>
    <dataValidation type="list" allowBlank="1" showInputMessage="1" showErrorMessage="1" sqref="I39:J39" xr:uid="{C476CFB9-B31D-4F7B-AB1E-FE20AEBAA9D9}">
      <formula1>Tipo7</formula1>
    </dataValidation>
    <dataValidation type="list" allowBlank="1" showInputMessage="1" showErrorMessage="1" sqref="F65:G65" xr:uid="{5DA16217-69D0-40C8-97C4-E830FDB0A7FE}">
      <formula1>Tipo10</formula1>
    </dataValidation>
    <dataValidation type="list" allowBlank="1" showInputMessage="1" showErrorMessage="1" sqref="C8" xr:uid="{29AC9572-C2C8-4417-A954-E423E13B2ED1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A0073C-A5C4-4A4D-A9B1-EB78EDA26826}">
          <x14:formula1>
            <xm:f>Plan4!$A$1:$C$1</xm:f>
          </x14:formula1>
          <xm:sqref>C12 L38 I12 L12 I38 C38 F38 F12</xm:sqref>
        </x14:dataValidation>
        <x14:dataValidation type="list" allowBlank="1" showInputMessage="1" showErrorMessage="1" xr:uid="{E8ABD9B6-37D9-44C8-9B96-26E66E24AC18}">
          <x14:formula1>
            <xm:f>Plan1!$N$6:$N$8</xm:f>
          </x14:formula1>
          <xm:sqref>C64 L64 I64 F64</xm:sqref>
        </x14:dataValidation>
        <x14:dataValidation type="list" allowBlank="1" showInputMessage="1" showErrorMessage="1" xr:uid="{11667866-06D9-4E7D-8059-67546C703CC9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687F807F-3815-4C3F-A899-5E5824C47595}">
          <x14:formula1>
            <xm:f>Plan4!$A$20:$D$20</xm:f>
          </x14:formula1>
          <xm:sqref>C7:D7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AFF5D-B8A5-4351-8C46-37A94B6B5E4D}">
  <sheetPr codeName="Plan15">
    <pageSetUpPr fitToPage="1"/>
  </sheetPr>
  <dimension ref="A1:U149"/>
  <sheetViews>
    <sheetView showGridLines="0" showRowColHeaders="0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139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23</v>
      </c>
      <c r="D14" s="3" t="s">
        <v>2</v>
      </c>
      <c r="F14" s="22">
        <v>39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180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11.8</v>
      </c>
      <c r="F27" s="15">
        <f>IF(F12&gt;0,ROUND(F26*F14/2*F24*COS(PI()/180*F16),2)," ")</f>
        <v>-20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200.62324999999998</v>
      </c>
      <c r="D29" s="3" t="s">
        <v>1</v>
      </c>
      <c r="F29" s="15">
        <f>IF(F12&gt;0,(F25*F14^2)/(8*F15)," ")</f>
        <v>576.83924999999999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200.62</v>
      </c>
      <c r="D30" s="16"/>
      <c r="E30" s="16"/>
      <c r="F30" s="15">
        <f>IF(F12=0,"",ROUND(F29*COS(PI()/180*F16),2))</f>
        <v>-576.84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384.42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456.09152542372874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180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-456.09152542372874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5.5877982766979685E-14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474.58152542372875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180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475 daN 180°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456 daN 180°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(15)'!C8,Plan1!D57:E68,2,FALSE),IF(C7=Plan1!C69,VLOOKUP('Ponto (15)'!C8,Plan1!D69:E72,2,FALSE),IF(C7=Plan1!C73,VLOOKUP('Ponto (15)'!C8,Plan1!D73:E76,2,FALSE),IF(C7=Plan1!C77,VLOOKUP('Ponto (15)'!C8,Plan1!D77:E77,2,FALSE),0))))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8" xr:uid="{780604DE-FF96-4A4F-9309-DD88B276D0E1}">
      <formula1>Poste</formula1>
    </dataValidation>
    <dataValidation type="list" allowBlank="1" showInputMessage="1" showErrorMessage="1" sqref="F65:G65" xr:uid="{657A5417-6EF7-474B-A8E6-4DF0CCC84DFB}">
      <formula1>Tipo10</formula1>
    </dataValidation>
    <dataValidation type="list" allowBlank="1" showInputMessage="1" showErrorMessage="1" sqref="I39:J39" xr:uid="{B6F2F044-3D1B-4928-B80B-1A06BB51C464}">
      <formula1>Tipo7</formula1>
    </dataValidation>
    <dataValidation type="list" allowBlank="1" showInputMessage="1" showErrorMessage="1" sqref="F39:G39" xr:uid="{0EE368C8-FDA3-43A1-901A-782C622305D7}">
      <formula1>Tipo6</formula1>
    </dataValidation>
    <dataValidation type="list" allowBlank="1" showInputMessage="1" showErrorMessage="1" sqref="C39:D39" xr:uid="{EF805BD3-0516-4BA1-A854-BE8618AEA401}">
      <formula1>tipo5</formula1>
    </dataValidation>
    <dataValidation type="list" allowBlank="1" showInputMessage="1" showErrorMessage="1" sqref="F13:G13" xr:uid="{036B9701-BC8B-4B52-9E24-C00A492E7955}">
      <formula1>Tipo2</formula1>
    </dataValidation>
    <dataValidation type="list" allowBlank="1" showInputMessage="1" showErrorMessage="1" sqref="L65" xr:uid="{81EA8F80-A5EC-4F49-B7E0-BCB61718EE65}">
      <formula1>Tipo12</formula1>
    </dataValidation>
    <dataValidation type="list" allowBlank="1" showInputMessage="1" showErrorMessage="1" sqref="I65" xr:uid="{37E23DD4-C722-4F01-8249-8D0E71A08A41}">
      <formula1>Tipo11</formula1>
    </dataValidation>
    <dataValidation type="list" allowBlank="1" showInputMessage="1" showErrorMessage="1" sqref="C65" xr:uid="{7BEC7826-469D-49A3-A72E-CC21B79C91CE}">
      <formula1>Tipo9</formula1>
    </dataValidation>
    <dataValidation type="list" allowBlank="1" showInputMessage="1" showErrorMessage="1" sqref="L39" xr:uid="{9508F875-5659-47B0-9DFA-6E5A59D78C11}">
      <formula1>Tipo8</formula1>
    </dataValidation>
    <dataValidation type="list" allowBlank="1" showInputMessage="1" showErrorMessage="1" sqref="L13" xr:uid="{9A8598DA-39C9-4A4B-97AF-7D94A911B401}">
      <formula1>Tipo4</formula1>
    </dataValidation>
    <dataValidation type="list" allowBlank="1" showInputMessage="1" showErrorMessage="1" sqref="I13" xr:uid="{9D4E87E1-242C-4197-B4DC-D51FD57CAA8B}">
      <formula1>Tipo3</formula1>
    </dataValidation>
    <dataValidation type="list" allowBlank="1" showInputMessage="1" showErrorMessage="1" sqref="C13" xr:uid="{01D7D90C-1D76-41E7-A04C-31BFE1063B85}">
      <formula1>Tipo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CBE1015-0FB3-473F-889E-DFB626320D22}">
          <x14:formula1>
            <xm:f>Plan4!$A$20:$D$20</xm:f>
          </x14:formula1>
          <xm:sqref>C7:D7</xm:sqref>
        </x14:dataValidation>
        <x14:dataValidation type="list" allowBlank="1" showInputMessage="1" showErrorMessage="1" xr:uid="{742183C2-59D7-411C-83FC-AF2E7E403A81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CDC4BED9-C400-4139-8532-9982A328CF00}">
          <x14:formula1>
            <xm:f>Plan1!$N$6:$N$8</xm:f>
          </x14:formula1>
          <xm:sqref>C64 L64 I64 F64</xm:sqref>
        </x14:dataValidation>
        <x14:dataValidation type="list" allowBlank="1" showInputMessage="1" showErrorMessage="1" xr:uid="{00BBA567-2FFA-421C-BD8E-778FFE2F47EB}">
          <x14:formula1>
            <xm:f>Plan4!$A$1:$C$1</xm:f>
          </x14:formula1>
          <xm:sqref>C12 L38 I12 L12 I38 C38 F38 F12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9DD06-F70E-496B-9755-2BCDC080DBF7}">
  <sheetPr codeName="Plan17">
    <pageSetUpPr fitToPage="1"/>
  </sheetPr>
  <dimension ref="A1:U149"/>
  <sheetViews>
    <sheetView showGridLines="0" showRowColHeaders="0" showRuler="0" zoomScaleNormal="100" workbookViewId="0">
      <selection activeCell="F17" sqref="F17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147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40</v>
      </c>
      <c r="D14" s="3" t="s">
        <v>2</v>
      </c>
      <c r="F14" s="22">
        <v>39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0</v>
      </c>
      <c r="D16" s="9" t="s">
        <v>5</v>
      </c>
      <c r="F16" s="21">
        <v>179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20.52</v>
      </c>
      <c r="F27" s="15">
        <f>IF(F12&gt;0,ROUND(F26*F14/2*F24*COS(PI()/180*F16),2)," ")</f>
        <v>-20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0.35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606.79999999999995</v>
      </c>
      <c r="D29" s="3" t="s">
        <v>1</v>
      </c>
      <c r="F29" s="15">
        <f>IF(F12&gt;0,(F25*F14^2)/(8*F15)," ")</f>
        <v>576.83924999999999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606.79999999999995</v>
      </c>
      <c r="D30" s="16"/>
      <c r="E30" s="16"/>
      <c r="F30" s="15">
        <f>IF(F12=0,"",ROUND(F29*COS(PI()/180*F16),2))</f>
        <v>-576.75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10.07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32.319204456250098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38.344818846398411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18.52642075400993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36.357684347149707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12.183756451773649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56.834818846398406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18.52642075400993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57 daN 19°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38 daN 19°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(17)'!C8,Plan1!D57:E68,2,FALSE),IF(C7=Plan1!C69,VLOOKUP('Ponto (17)'!C8,Plan1!D69:E72,2,FALSE),IF(C7=Plan1!C73,VLOOKUP('Ponto (17)'!C8,Plan1!D73:E76,2,FALSE),IF(C7=Plan1!C77,VLOOKUP('Ponto (17)'!C8,Plan1!D77:E77,2,FALSE),0))))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13" xr:uid="{CEFE98CF-E685-4519-821B-B759CAA0D009}">
      <formula1>Tipo</formula1>
    </dataValidation>
    <dataValidation type="list" allowBlank="1" showInputMessage="1" showErrorMessage="1" sqref="I13" xr:uid="{D457B608-5F95-49DE-9F0E-A9903C892C1F}">
      <formula1>Tipo3</formula1>
    </dataValidation>
    <dataValidation type="list" allowBlank="1" showInputMessage="1" showErrorMessage="1" sqref="L13" xr:uid="{FC25518F-64B8-41E9-B26D-72E9C39120D2}">
      <formula1>Tipo4</formula1>
    </dataValidation>
    <dataValidation type="list" allowBlank="1" showInputMessage="1" showErrorMessage="1" sqref="L39" xr:uid="{9D2DE3A0-F682-4C98-B19F-CCF28CA6F585}">
      <formula1>Tipo8</formula1>
    </dataValidation>
    <dataValidation type="list" allowBlank="1" showInputMessage="1" showErrorMessage="1" sqref="C65" xr:uid="{1A1540B8-BE20-46B1-B27F-65994D2EC449}">
      <formula1>Tipo9</formula1>
    </dataValidation>
    <dataValidation type="list" allowBlank="1" showInputMessage="1" showErrorMessage="1" sqref="I65" xr:uid="{92BD2305-F7A8-471A-BC26-95B424223AE8}">
      <formula1>Tipo11</formula1>
    </dataValidation>
    <dataValidation type="list" allowBlank="1" showInputMessage="1" showErrorMessage="1" sqref="L65" xr:uid="{7996C00E-B799-4855-B9D7-B48B83B407F7}">
      <formula1>Tipo12</formula1>
    </dataValidation>
    <dataValidation type="list" allowBlank="1" showInputMessage="1" showErrorMessage="1" sqref="F13:G13" xr:uid="{2C89026E-5C36-44A5-B49C-A46DE84615C1}">
      <formula1>Tipo2</formula1>
    </dataValidation>
    <dataValidation type="list" allowBlank="1" showInputMessage="1" showErrorMessage="1" sqref="C39:D39" xr:uid="{46AEDA5D-4C8D-4444-8086-C2B4D031ABAB}">
      <formula1>tipo5</formula1>
    </dataValidation>
    <dataValidation type="list" allowBlank="1" showInputMessage="1" showErrorMessage="1" sqref="F39:G39" xr:uid="{8A8D4691-F978-42CF-B5D7-A104476B34BC}">
      <formula1>Tipo6</formula1>
    </dataValidation>
    <dataValidation type="list" allowBlank="1" showInputMessage="1" showErrorMessage="1" sqref="I39:J39" xr:uid="{F318BD72-CCC8-4BA5-A1FF-65C4AC0DFF11}">
      <formula1>Tipo7</formula1>
    </dataValidation>
    <dataValidation type="list" allowBlank="1" showInputMessage="1" showErrorMessage="1" sqref="F65:G65" xr:uid="{10B81054-EC6D-461F-A51F-B9C3EEA1B85D}">
      <formula1>Tipo10</formula1>
    </dataValidation>
    <dataValidation type="list" allowBlank="1" showInputMessage="1" showErrorMessage="1" sqref="C8" xr:uid="{406EFF44-C7A1-4DC0-9589-DE3EEE656414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1CD1F7C-D014-4721-A5C6-033A476F5E9F}">
          <x14:formula1>
            <xm:f>Plan4!$A$1:$C$1</xm:f>
          </x14:formula1>
          <xm:sqref>C12 L38 I12 L12 I38 C38 F38 F12</xm:sqref>
        </x14:dataValidation>
        <x14:dataValidation type="list" allowBlank="1" showInputMessage="1" showErrorMessage="1" xr:uid="{37FDD7A4-C504-429F-A1BB-858B07BEF97F}">
          <x14:formula1>
            <xm:f>Plan1!$N$6:$N$8</xm:f>
          </x14:formula1>
          <xm:sqref>C64 L64 I64 F64</xm:sqref>
        </x14:dataValidation>
        <x14:dataValidation type="list" allowBlank="1" showInputMessage="1" showErrorMessage="1" xr:uid="{6BA931B7-5097-45AD-B5FF-EAE1D3470415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FF53E334-F527-49DB-B9F3-204574BC55E5}">
          <x14:formula1>
            <xm:f>Plan4!$A$20:$D$20</xm:f>
          </x14:formula1>
          <xm:sqref>C7:D7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ECB96-55D9-4639-9EFD-4C13230A37A6}">
  <sheetPr codeName="Plan16">
    <pageSetUpPr fitToPage="1"/>
  </sheetPr>
  <dimension ref="A1:U149"/>
  <sheetViews>
    <sheetView showGridLines="0" showRowColHeaders="0" showRuler="0" zoomScaleNormal="100" workbookViewId="0">
      <selection activeCell="I17" sqref="I17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146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 t="s">
        <v>68</v>
      </c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 t="s">
        <v>64</v>
      </c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23</v>
      </c>
      <c r="D14" s="3" t="s">
        <v>2</v>
      </c>
      <c r="F14" s="22">
        <v>39</v>
      </c>
      <c r="G14" s="3" t="s">
        <v>2</v>
      </c>
      <c r="I14" s="22">
        <v>25</v>
      </c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>
        <v>0.5</v>
      </c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180</v>
      </c>
      <c r="D16" s="9" t="s">
        <v>5</v>
      </c>
      <c r="F16" s="21">
        <v>0</v>
      </c>
      <c r="G16" s="9" t="s">
        <v>5</v>
      </c>
      <c r="I16" s="21">
        <v>90</v>
      </c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>
        <f>IF(I12&gt;0,VLOOKUP(I13,Plan1!$C$3:$E$34,3,0)," ")</f>
        <v>0.37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>
        <f>IF(I12&gt;0,VLOOKUP(I13,Plan1!$C$3:$E$34,2,0)," ")</f>
        <v>1.7000000000000001E-2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>
        <f>IF(I12&gt;0,VLOOKUP(I12,Plan1!$N$1:$O$7,2,0)," ")</f>
        <v>3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0.40699999999999997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9.4999999999999998E-3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>
        <f>IF(I12&gt;0,I21*I20+I23," ")</f>
        <v>6.0500000000000005E-2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>
        <f>IF(I12&gt;0,I19*I21+I22," ")</f>
        <v>1.5169999999999999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-11.8</v>
      </c>
      <c r="F27" s="15">
        <f>IF(F12&gt;0,ROUND(F26*F14/2*F24*COS(PI()/180*F16),2)," ")</f>
        <v>20</v>
      </c>
      <c r="I27" s="15">
        <f>IF(I12&gt;0,ROUND(I26*I14/2*I24*COS(PI()/180*I16),2)," ")</f>
        <v>0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>
        <f>IF(I12&gt;0,ROUND(I26*I14/2*I24*SIN(PI()/180*I16),2)," ")</f>
        <v>12.82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200.62324999999998</v>
      </c>
      <c r="D29" s="3" t="s">
        <v>1</v>
      </c>
      <c r="F29" s="15">
        <f>IF(F12&gt;0,(F25*F14^2)/(8*F15)," ")</f>
        <v>576.83924999999999</v>
      </c>
      <c r="G29" s="3" t="s">
        <v>1</v>
      </c>
      <c r="I29" s="15">
        <f>IF(I12&gt;0,(I25*I14^2)/(8*I15)," ")</f>
        <v>237.03124999999997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-200.62</v>
      </c>
      <c r="D30" s="16"/>
      <c r="E30" s="16"/>
      <c r="F30" s="15">
        <f>IF(F12=0,"",ROUND(F29*COS(PI()/180*F16),2))</f>
        <v>576.84</v>
      </c>
      <c r="I30" s="15">
        <f>IF(I12=0,"",ROUND(I29*COS(PI()/180*I16),2))</f>
        <v>0</v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>
        <f>IF(I12=0,"",ROUND(I29*SIN(PI()/180*I16),2))</f>
        <v>237.03</v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459.88062691347795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545.62108277870254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32.21217056118391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461.63906138091392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290.84659698877783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564.11108277870255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32.21217056118391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564 daN 32°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546 daN 32°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(18)'!C8,Plan1!D57:E68,2,FALSE),IF(C7=Plan1!C69,VLOOKUP('Ponto (18)'!C8,Plan1!D69:E72,2,FALSE),IF(C7=Plan1!C73,VLOOKUP('Ponto (18)'!C8,Plan1!D73:E76,2,FALSE),IF(C7=Plan1!C77,VLOOKUP('Ponto (18)'!C8,Plan1!D77:E77,2,FALSE),0))))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13" xr:uid="{E9100DFD-6776-40CB-87DD-36EE28078ECD}">
      <formula1>Tipo</formula1>
    </dataValidation>
    <dataValidation type="list" allowBlank="1" showInputMessage="1" showErrorMessage="1" sqref="I13" xr:uid="{5ABFE558-1E1D-49E8-86E4-9B179CC8660A}">
      <formula1>Tipo3</formula1>
    </dataValidation>
    <dataValidation type="list" allowBlank="1" showInputMessage="1" showErrorMessage="1" sqref="L13" xr:uid="{3CC3EAA8-90A6-449F-A7A7-59A876990759}">
      <formula1>Tipo4</formula1>
    </dataValidation>
    <dataValidation type="list" allowBlank="1" showInputMessage="1" showErrorMessage="1" sqref="L39" xr:uid="{FBA2B6F5-AA54-45BE-A426-76B076B144F5}">
      <formula1>Tipo8</formula1>
    </dataValidation>
    <dataValidation type="list" allowBlank="1" showInputMessage="1" showErrorMessage="1" sqref="C65" xr:uid="{79E823B3-B54C-43B4-A96D-CD738A1D74D6}">
      <formula1>Tipo9</formula1>
    </dataValidation>
    <dataValidation type="list" allowBlank="1" showInputMessage="1" showErrorMessage="1" sqref="I65" xr:uid="{9B336B12-C397-4087-A76A-B48C391BE747}">
      <formula1>Tipo11</formula1>
    </dataValidation>
    <dataValidation type="list" allowBlank="1" showInputMessage="1" showErrorMessage="1" sqref="L65" xr:uid="{FDF35CD9-60FE-4265-8059-9FFB97FCC2F4}">
      <formula1>Tipo12</formula1>
    </dataValidation>
    <dataValidation type="list" allowBlank="1" showInputMessage="1" showErrorMessage="1" sqref="F13:G13" xr:uid="{8AA25374-BA55-46FD-B1C9-8E400AF1F6B4}">
      <formula1>Tipo2</formula1>
    </dataValidation>
    <dataValidation type="list" allowBlank="1" showInputMessage="1" showErrorMessage="1" sqref="C39:D39" xr:uid="{E7BD1082-55AF-4B21-B722-7B45653B3C76}">
      <formula1>tipo5</formula1>
    </dataValidation>
    <dataValidation type="list" allowBlank="1" showInputMessage="1" showErrorMessage="1" sqref="F39:G39" xr:uid="{81CDE8D5-4869-45B6-9D6C-A59837089890}">
      <formula1>Tipo6</formula1>
    </dataValidation>
    <dataValidation type="list" allowBlank="1" showInputMessage="1" showErrorMessage="1" sqref="I39:J39" xr:uid="{44D5D178-FB88-4B1A-B5A7-D8DAF37ADAA0}">
      <formula1>Tipo7</formula1>
    </dataValidation>
    <dataValidation type="list" allowBlank="1" showInputMessage="1" showErrorMessage="1" sqref="F65:G65" xr:uid="{004881D0-705B-4C60-A226-98309F550998}">
      <formula1>Tipo10</formula1>
    </dataValidation>
    <dataValidation type="list" allowBlank="1" showInputMessage="1" showErrorMessage="1" sqref="C8" xr:uid="{5EB6D66D-42CA-4B93-81C1-E2DDD0D16770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E401BA5-A876-47DD-9067-BD8E7AE9BEFD}">
          <x14:formula1>
            <xm:f>Plan4!$A$1:$C$1</xm:f>
          </x14:formula1>
          <xm:sqref>C12 L38 I12 L12 I38 C38 F38 F12</xm:sqref>
        </x14:dataValidation>
        <x14:dataValidation type="list" allowBlank="1" showInputMessage="1" showErrorMessage="1" xr:uid="{1F75158F-3A78-4B0F-9648-58B64FDE4714}">
          <x14:formula1>
            <xm:f>Plan1!$N$6:$N$8</xm:f>
          </x14:formula1>
          <xm:sqref>C64 L64 I64 F64</xm:sqref>
        </x14:dataValidation>
        <x14:dataValidation type="list" allowBlank="1" showInputMessage="1" showErrorMessage="1" xr:uid="{0B16CA9B-B2AB-49FD-9473-F8FFF3EF8A31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E09F2EBF-627E-490D-8AF2-AF40C35226CC}">
          <x14:formula1>
            <xm:f>Plan4!$A$20:$D$20</xm:f>
          </x14:formula1>
          <xm:sqref>C7:D7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9CD7C-3B9E-4478-8ADB-95E5B02B56F1}">
  <sheetPr codeName="Plan18">
    <pageSetUpPr fitToPage="1"/>
  </sheetPr>
  <dimension ref="A1:U149"/>
  <sheetViews>
    <sheetView showGridLines="0" showRowColHeaders="0" showRuler="0" zoomScaleNormal="100" workbookViewId="0">
      <selection activeCell="L18" sqref="L18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148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40</v>
      </c>
      <c r="D14" s="3" t="s">
        <v>2</v>
      </c>
      <c r="F14" s="22">
        <v>39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178</v>
      </c>
      <c r="D16" s="9" t="s">
        <v>5</v>
      </c>
      <c r="F16" s="21">
        <v>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-20.5</v>
      </c>
      <c r="F27" s="15">
        <f>IF(F12&gt;0,ROUND(F26*F14/2*F24*COS(PI()/180*F16),2)," ")</f>
        <v>20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0.72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606.79999999999995</v>
      </c>
      <c r="D29" s="3" t="s">
        <v>1</v>
      </c>
      <c r="F29" s="15">
        <f>IF(F12&gt;0,(F25*F14^2)/(8*F15)," ")</f>
        <v>576.83924999999999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-606.42999999999995</v>
      </c>
      <c r="D30" s="16"/>
      <c r="E30" s="16"/>
      <c r="F30" s="15">
        <f>IF(F12=0,"",ROUND(F29*COS(PI()/180*F16),2))</f>
        <v>576.84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21.18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37.265600479979305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44.213424298280515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>
        <f>IF(C32=0,"",IF(SUM(C30:L30)=0,ROUNDUP(ATAN(SUM(C31:L31)/1)*180/PI(),0),IF(SUM(C30:L30)&lt;0,ATAN(SUM(C31:L31)/SUM(C30:L30))*180/PI()+180,ATAN(SUM(C31:L31)/SUM(C30:L30))*180/PI())))</f>
        <v>144.40558104633959</v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>
        <f>IF(C12&gt;0,IF(F33=0,"",F33*COS(PI()/180*F34))," ")</f>
        <v>-35.952475818459398</v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>
        <f>IF(C12&gt;0,IF(F33=0,"",F33*SIN(PI()/180*F34))," ")</f>
        <v>25.734147949813178</v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62.70342429828051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144.40558104633959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63 daN 144°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44 daN 144°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(21)'!C8,Plan1!D57:E68,2,FALSE),IF(C7=Plan1!C69,VLOOKUP('Ponto (21)'!C8,Plan1!D69:E72,2,FALSE),IF(C7=Plan1!C73,VLOOKUP('Ponto (21)'!C8,Plan1!D73:E76,2,FALSE),IF(C7=Plan1!C77,VLOOKUP('Ponto (21)'!C8,Plan1!D77:E77,2,FALSE),0))))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8" xr:uid="{8DF47B0F-DD56-4BDA-8301-9180FAFAEA3D}">
      <formula1>Poste</formula1>
    </dataValidation>
    <dataValidation type="list" allowBlank="1" showInputMessage="1" showErrorMessage="1" sqref="F65:G65" xr:uid="{BEA12622-5E0D-4A95-8162-FACFC3E21F40}">
      <formula1>Tipo10</formula1>
    </dataValidation>
    <dataValidation type="list" allowBlank="1" showInputMessage="1" showErrorMessage="1" sqref="I39:J39" xr:uid="{F32CFA28-6423-46A1-A2CA-72AA0BBDC466}">
      <formula1>Tipo7</formula1>
    </dataValidation>
    <dataValidation type="list" allowBlank="1" showInputMessage="1" showErrorMessage="1" sqref="F39:G39" xr:uid="{2EFC7B25-BD6A-4ACD-964D-4DD258DB4A05}">
      <formula1>Tipo6</formula1>
    </dataValidation>
    <dataValidation type="list" allowBlank="1" showInputMessage="1" showErrorMessage="1" sqref="C39:D39" xr:uid="{B842D5B3-E010-4F4D-AC6E-C8B53655CC20}">
      <formula1>tipo5</formula1>
    </dataValidation>
    <dataValidation type="list" allowBlank="1" showInputMessage="1" showErrorMessage="1" sqref="F13:G13" xr:uid="{D8B078E1-3FAE-4317-BA50-6A5899C63005}">
      <formula1>Tipo2</formula1>
    </dataValidation>
    <dataValidation type="list" allowBlank="1" showInputMessage="1" showErrorMessage="1" sqref="L65" xr:uid="{E8AF7077-A753-4458-A66D-217ED1AAE251}">
      <formula1>Tipo12</formula1>
    </dataValidation>
    <dataValidation type="list" allowBlank="1" showInputMessage="1" showErrorMessage="1" sqref="I65" xr:uid="{70CD8B61-36BD-4D84-92CD-4B626881659D}">
      <formula1>Tipo11</formula1>
    </dataValidation>
    <dataValidation type="list" allowBlank="1" showInputMessage="1" showErrorMessage="1" sqref="C65" xr:uid="{10960A52-0C3A-40C4-B772-99EAD485912B}">
      <formula1>Tipo9</formula1>
    </dataValidation>
    <dataValidation type="list" allowBlank="1" showInputMessage="1" showErrorMessage="1" sqref="L39" xr:uid="{9ABA33CF-4BCF-4E75-BF86-F341199F85F0}">
      <formula1>Tipo8</formula1>
    </dataValidation>
    <dataValidation type="list" allowBlank="1" showInputMessage="1" showErrorMessage="1" sqref="L13" xr:uid="{44927C89-9D7B-4465-9563-22D2FDF2F778}">
      <formula1>Tipo4</formula1>
    </dataValidation>
    <dataValidation type="list" allowBlank="1" showInputMessage="1" showErrorMessage="1" sqref="I13" xr:uid="{A7BEC45F-2716-4E38-8AE1-489CA8F11264}">
      <formula1>Tipo3</formula1>
    </dataValidation>
    <dataValidation type="list" allowBlank="1" showInputMessage="1" showErrorMessage="1" sqref="C13" xr:uid="{97A01A82-3496-49F4-BD28-839D3D5D8177}">
      <formula1>Tipo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1D52C2-CD4F-4BDF-A951-3513434E0373}">
          <x14:formula1>
            <xm:f>Plan4!$A$20:$D$20</xm:f>
          </x14:formula1>
          <xm:sqref>C7:D7</xm:sqref>
        </x14:dataValidation>
        <x14:dataValidation type="list" allowBlank="1" showInputMessage="1" showErrorMessage="1" xr:uid="{17D34177-1CA8-4FF9-AEB5-638BFFD7D138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89FE2E57-9F3A-447B-A7F1-D142695C86D2}">
          <x14:formula1>
            <xm:f>Plan1!$N$6:$N$8</xm:f>
          </x14:formula1>
          <xm:sqref>C64 L64 I64 F64</xm:sqref>
        </x14:dataValidation>
        <x14:dataValidation type="list" allowBlank="1" showInputMessage="1" showErrorMessage="1" xr:uid="{333901A2-EAAB-45E0-BA41-AC900372C92E}">
          <x14:formula1>
            <xm:f>Plan4!$A$1:$C$1</xm:f>
          </x14:formula1>
          <xm:sqref>C12 L38 I12 L12 I38 C38 F38 F12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3CD41-DD0C-463A-9D0D-19F1FD24A279}">
  <sheetPr codeName="Plan19">
    <pageSetUpPr fitToPage="1"/>
  </sheetPr>
  <dimension ref="A1:U149"/>
  <sheetViews>
    <sheetView showGridLines="0" showRowColHeaders="0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149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40</v>
      </c>
      <c r="D14" s="3" t="s">
        <v>2</v>
      </c>
      <c r="F14" s="22">
        <v>40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180</v>
      </c>
      <c r="D16" s="9" t="s">
        <v>5</v>
      </c>
      <c r="F16" s="21">
        <v>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-20.52</v>
      </c>
      <c r="F27" s="15">
        <f>IF(F12&gt;0,ROUND(F26*F14/2*F24*COS(PI()/180*F16),2)," ")</f>
        <v>20.52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606.79999999999995</v>
      </c>
      <c r="D29" s="3" t="s">
        <v>1</v>
      </c>
      <c r="F29" s="15">
        <f>IF(F12&gt;0,(F25*F14^2)/(8*F15)," ")</f>
        <v>606.79999999999995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-606.79999999999995</v>
      </c>
      <c r="D30" s="16"/>
      <c r="E30" s="16"/>
      <c r="F30" s="15">
        <f>IF(F12=0,"",ROUND(F29*COS(PI()/180*F16),2))</f>
        <v>606.79999999999995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0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0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 t="str">
        <f>IF(C32=0,"",IF(SUM(C30:L30)=0,ROUNDUP(ATAN(SUM(C31:L31)/1)*180/PI(),0),IF(SUM(C30:L30)&lt;0,ATAN(SUM(C31:L31)/SUM(C30:L30))*180/PI()+180,ATAN(SUM(C31:L31)/SUM(C30:L30))*180/PI())))</f>
        <v/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 t="str">
        <f>IF(C12&gt;0,IF(F33=0,"",F33*COS(PI()/180*F34))," ")</f>
        <v/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 t="str">
        <f>IF(C12&gt;0,IF(F33=0,"",F33*SIN(PI()/180*F34))," ")</f>
        <v/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18.489999999999998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0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18 daN 0°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0 daN 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(23)'!C8,Plan1!D57:E68,2,FALSE),IF(C7=Plan1!C69,VLOOKUP('Ponto (23)'!C8,Plan1!D69:E72,2,FALSE),IF(C7=Plan1!C73,VLOOKUP('Ponto (23)'!C8,Plan1!D73:E76,2,FALSE),IF(C7=Plan1!C77,VLOOKUP('Ponto (23)'!C8,Plan1!D77:E77,2,FALSE),0))))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13" xr:uid="{54932D70-812C-4C1D-AAD6-60FE7018FACD}">
      <formula1>Tipo</formula1>
    </dataValidation>
    <dataValidation type="list" allowBlank="1" showInputMessage="1" showErrorMessage="1" sqref="I13" xr:uid="{01BA8CF8-CCBC-46D9-9FC7-9EA8ACB7C62A}">
      <formula1>Tipo3</formula1>
    </dataValidation>
    <dataValidation type="list" allowBlank="1" showInputMessage="1" showErrorMessage="1" sqref="L13" xr:uid="{269763C3-1899-4D2D-B9D8-89C8974F031E}">
      <formula1>Tipo4</formula1>
    </dataValidation>
    <dataValidation type="list" allowBlank="1" showInputMessage="1" showErrorMessage="1" sqref="L39" xr:uid="{DD4E8CFF-4A66-4A00-BA24-05E678C1927D}">
      <formula1>Tipo8</formula1>
    </dataValidation>
    <dataValidation type="list" allowBlank="1" showInputMessage="1" showErrorMessage="1" sqref="C65" xr:uid="{B570EE3C-22B2-42E4-B3C3-84467FE3E208}">
      <formula1>Tipo9</formula1>
    </dataValidation>
    <dataValidation type="list" allowBlank="1" showInputMessage="1" showErrorMessage="1" sqref="I65" xr:uid="{F99F91D7-CAE2-4A41-BA10-FBAECD68F73D}">
      <formula1>Tipo11</formula1>
    </dataValidation>
    <dataValidation type="list" allowBlank="1" showInputMessage="1" showErrorMessage="1" sqref="L65" xr:uid="{0FA5363F-930E-48EB-84FA-4A6C04B538F5}">
      <formula1>Tipo12</formula1>
    </dataValidation>
    <dataValidation type="list" allowBlank="1" showInputMessage="1" showErrorMessage="1" sqref="F13:G13" xr:uid="{390501E0-E9F5-4862-B4C7-C3974A0F9454}">
      <formula1>Tipo2</formula1>
    </dataValidation>
    <dataValidation type="list" allowBlank="1" showInputMessage="1" showErrorMessage="1" sqref="C39:D39" xr:uid="{89528900-AA39-42DA-B6BA-BD5336741230}">
      <formula1>tipo5</formula1>
    </dataValidation>
    <dataValidation type="list" allowBlank="1" showInputMessage="1" showErrorMessage="1" sqref="F39:G39" xr:uid="{A13DE303-60DD-47B7-B688-8FC3469A51F7}">
      <formula1>Tipo6</formula1>
    </dataValidation>
    <dataValidation type="list" allowBlank="1" showInputMessage="1" showErrorMessage="1" sqref="I39:J39" xr:uid="{563E042A-2221-45D3-98D8-36330E59BA61}">
      <formula1>Tipo7</formula1>
    </dataValidation>
    <dataValidation type="list" allowBlank="1" showInputMessage="1" showErrorMessage="1" sqref="F65:G65" xr:uid="{7BEDED04-E073-4FE2-8D35-8DCAE5418133}">
      <formula1>Tipo10</formula1>
    </dataValidation>
    <dataValidation type="list" allowBlank="1" showInputMessage="1" showErrorMessage="1" sqref="C8" xr:uid="{5F18FD39-A00A-437D-99C6-B20580F58153}">
      <formula1>Poste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3D03AD9-5E90-42E5-AF88-241C736D7C0C}">
          <x14:formula1>
            <xm:f>Plan4!$A$1:$C$1</xm:f>
          </x14:formula1>
          <xm:sqref>C12 L38 I12 L12 I38 C38 F38 F12</xm:sqref>
        </x14:dataValidation>
        <x14:dataValidation type="list" allowBlank="1" showInputMessage="1" showErrorMessage="1" xr:uid="{2BA79E8B-2A24-475D-9D76-07C105F128C8}">
          <x14:formula1>
            <xm:f>Plan1!$N$6:$N$8</xm:f>
          </x14:formula1>
          <xm:sqref>C64 L64 I64 F64</xm:sqref>
        </x14:dataValidation>
        <x14:dataValidation type="list" allowBlank="1" showInputMessage="1" showErrorMessage="1" xr:uid="{C57F02FE-B026-4F8F-80CA-D7409A0FD034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758B805E-2223-4D82-B8F4-7059CFEAA16B}">
          <x14:formula1>
            <xm:f>Plan4!$A$20:$D$20</xm:f>
          </x14:formula1>
          <xm:sqref>C7:D7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369F5-3D2F-4460-B208-358BD3C2EAE8}">
  <sheetPr codeName="Plan20">
    <pageSetUpPr fitToPage="1"/>
  </sheetPr>
  <dimension ref="A1:U149"/>
  <sheetViews>
    <sheetView showGridLines="0" showRowColHeaders="0" tabSelected="1" showRuler="0" zoomScaleNormal="100" workbookViewId="0">
      <selection activeCell="C2" sqref="C2:L2"/>
    </sheetView>
  </sheetViews>
  <sheetFormatPr defaultColWidth="0" defaultRowHeight="15" customHeight="1" zeroHeight="1" x14ac:dyDescent="0.3"/>
  <cols>
    <col min="1" max="1" width="5.33203125" style="3" customWidth="1"/>
    <col min="2" max="2" width="25.33203125" style="3" customWidth="1"/>
    <col min="3" max="4" width="12.6640625" style="3" customWidth="1"/>
    <col min="5" max="5" width="1.5546875" style="3" customWidth="1"/>
    <col min="6" max="7" width="12.6640625" style="3" customWidth="1"/>
    <col min="8" max="8" width="1.5546875" style="3" customWidth="1"/>
    <col min="9" max="10" width="12.6640625" style="3" customWidth="1"/>
    <col min="11" max="11" width="1.5546875" style="3" customWidth="1"/>
    <col min="12" max="13" width="12.6640625" style="3" customWidth="1"/>
    <col min="14" max="14" width="1.5546875" style="3" customWidth="1"/>
    <col min="15" max="15" width="26.5546875" style="3" customWidth="1"/>
    <col min="16" max="16" width="9.109375" style="3" customWidth="1"/>
    <col min="17" max="17" width="26.5546875" style="3" bestFit="1" customWidth="1"/>
    <col min="18" max="19" width="9.109375" style="3" hidden="1" customWidth="1"/>
    <col min="20" max="20" width="10.109375" style="3" hidden="1" customWidth="1"/>
    <col min="21" max="16384" width="9.109375" style="3" hidden="1"/>
  </cols>
  <sheetData>
    <row r="1" spans="2:21" ht="17.399999999999999" x14ac:dyDescent="0.3">
      <c r="B1" s="42" t="s">
        <v>126</v>
      </c>
      <c r="C1" s="41" t="s">
        <v>134</v>
      </c>
      <c r="D1" s="42" t="s">
        <v>133</v>
      </c>
      <c r="E1" s="47"/>
      <c r="F1" s="47"/>
      <c r="G1" s="42" t="s">
        <v>127</v>
      </c>
      <c r="H1" s="51" t="s">
        <v>137</v>
      </c>
      <c r="I1" s="51"/>
      <c r="J1" s="42" t="s">
        <v>128</v>
      </c>
      <c r="K1" s="45" t="s">
        <v>150</v>
      </c>
      <c r="L1" s="45"/>
    </row>
    <row r="2" spans="2:21" ht="17.399999999999999" x14ac:dyDescent="0.3">
      <c r="B2" s="43" t="s">
        <v>129</v>
      </c>
      <c r="C2" s="49"/>
      <c r="D2" s="49"/>
      <c r="E2" s="49"/>
      <c r="F2" s="49"/>
      <c r="G2" s="49"/>
      <c r="H2" s="49"/>
      <c r="I2" s="49"/>
      <c r="J2" s="49"/>
      <c r="K2" s="49"/>
      <c r="L2" s="49"/>
    </row>
    <row r="3" spans="2:21" ht="17.399999999999999" x14ac:dyDescent="0.3">
      <c r="B3" s="43" t="s">
        <v>130</v>
      </c>
      <c r="C3" s="48"/>
      <c r="D3" s="48"/>
      <c r="E3" s="48"/>
      <c r="F3" s="48"/>
      <c r="G3" s="42" t="s">
        <v>131</v>
      </c>
      <c r="H3" s="47"/>
      <c r="I3" s="47"/>
      <c r="J3" s="42" t="s">
        <v>132</v>
      </c>
      <c r="K3" s="46">
        <v>45901</v>
      </c>
      <c r="L3" s="47"/>
    </row>
    <row r="4" spans="2:21" ht="21.75" customHeight="1" x14ac:dyDescent="0.3">
      <c r="G4" s="40"/>
    </row>
    <row r="5" spans="2:21" ht="20.25" customHeight="1" x14ac:dyDescent="0.5">
      <c r="B5" s="52"/>
      <c r="C5" s="52"/>
      <c r="D5" s="52"/>
      <c r="E5" s="52"/>
    </row>
    <row r="6" spans="2:21" ht="14.4" x14ac:dyDescent="0.3"/>
    <row r="7" spans="2:21" ht="17.399999999999999" x14ac:dyDescent="0.35">
      <c r="B7" s="44" t="s">
        <v>108</v>
      </c>
      <c r="C7" s="59" t="s">
        <v>101</v>
      </c>
      <c r="D7" s="59"/>
    </row>
    <row r="8" spans="2:21" ht="17.399999999999999" x14ac:dyDescent="0.35">
      <c r="B8" s="44" t="s">
        <v>109</v>
      </c>
      <c r="C8" s="59" t="s">
        <v>112</v>
      </c>
      <c r="D8" s="59"/>
    </row>
    <row r="9" spans="2:21" ht="14.4" x14ac:dyDescent="0.3"/>
    <row r="10" spans="2:21" ht="19.8" x14ac:dyDescent="0.4">
      <c r="B10" s="56" t="s">
        <v>40</v>
      </c>
      <c r="C10" s="57"/>
      <c r="D10" s="57"/>
      <c r="E10" s="57"/>
      <c r="F10" s="57"/>
      <c r="G10" s="57"/>
      <c r="H10" s="57"/>
      <c r="I10" s="57"/>
      <c r="J10" s="57"/>
      <c r="K10" s="57"/>
      <c r="L10" s="57"/>
      <c r="M10" s="58"/>
    </row>
    <row r="11" spans="2:21" ht="14.4" x14ac:dyDescent="0.3">
      <c r="B11" s="4"/>
      <c r="C11" s="53" t="s">
        <v>20</v>
      </c>
      <c r="D11" s="53"/>
      <c r="F11" s="53" t="s">
        <v>21</v>
      </c>
      <c r="G11" s="53"/>
      <c r="I11" s="53" t="s">
        <v>22</v>
      </c>
      <c r="J11" s="53"/>
      <c r="L11" s="53" t="s">
        <v>39</v>
      </c>
      <c r="M11" s="54"/>
      <c r="U11" s="16"/>
    </row>
    <row r="12" spans="2:21" ht="14.4" x14ac:dyDescent="0.3">
      <c r="B12" s="7" t="s">
        <v>66</v>
      </c>
      <c r="C12" s="50" t="s">
        <v>68</v>
      </c>
      <c r="D12" s="50"/>
      <c r="E12" s="5"/>
      <c r="F12" s="50" t="s">
        <v>68</v>
      </c>
      <c r="G12" s="50"/>
      <c r="H12" s="5"/>
      <c r="I12" s="50"/>
      <c r="J12" s="50"/>
      <c r="K12" s="5"/>
      <c r="L12" s="50"/>
      <c r="M12" s="55"/>
      <c r="U12" s="16"/>
    </row>
    <row r="13" spans="2:21" ht="14.4" x14ac:dyDescent="0.3">
      <c r="B13" s="7" t="s">
        <v>53</v>
      </c>
      <c r="C13" s="50" t="s">
        <v>64</v>
      </c>
      <c r="D13" s="50"/>
      <c r="E13" s="5"/>
      <c r="F13" s="50" t="s">
        <v>64</v>
      </c>
      <c r="G13" s="50"/>
      <c r="H13" s="5"/>
      <c r="I13" s="50"/>
      <c r="J13" s="50"/>
      <c r="K13" s="5"/>
      <c r="L13" s="50"/>
      <c r="M13" s="55"/>
      <c r="U13" s="16"/>
    </row>
    <row r="14" spans="2:21" ht="14.4" x14ac:dyDescent="0.3">
      <c r="B14" s="8" t="s">
        <v>3</v>
      </c>
      <c r="C14" s="22">
        <v>40</v>
      </c>
      <c r="D14" s="3" t="s">
        <v>2</v>
      </c>
      <c r="F14" s="22">
        <v>40</v>
      </c>
      <c r="G14" s="3" t="s">
        <v>2</v>
      </c>
      <c r="I14" s="22"/>
      <c r="J14" s="3" t="s">
        <v>2</v>
      </c>
      <c r="L14" s="22"/>
      <c r="M14" s="6" t="s">
        <v>2</v>
      </c>
    </row>
    <row r="15" spans="2:21" ht="14.4" x14ac:dyDescent="0.3">
      <c r="B15" s="8" t="s">
        <v>4</v>
      </c>
      <c r="C15" s="21">
        <v>0.5</v>
      </c>
      <c r="D15" s="3" t="s">
        <v>2</v>
      </c>
      <c r="F15" s="21">
        <v>0.5</v>
      </c>
      <c r="G15" s="3" t="s">
        <v>2</v>
      </c>
      <c r="I15" s="21"/>
      <c r="J15" s="3" t="s">
        <v>2</v>
      </c>
      <c r="L15" s="21"/>
      <c r="M15" s="6" t="s">
        <v>2</v>
      </c>
    </row>
    <row r="16" spans="2:21" ht="14.4" x14ac:dyDescent="0.3">
      <c r="B16" s="8" t="s">
        <v>59</v>
      </c>
      <c r="C16" s="21">
        <v>180</v>
      </c>
      <c r="D16" s="9" t="s">
        <v>5</v>
      </c>
      <c r="F16" s="21">
        <v>0</v>
      </c>
      <c r="G16" s="9" t="s">
        <v>5</v>
      </c>
      <c r="I16" s="21"/>
      <c r="J16" s="9" t="s">
        <v>5</v>
      </c>
      <c r="L16" s="21"/>
      <c r="M16" s="10" t="s">
        <v>5</v>
      </c>
    </row>
    <row r="17" spans="2:21" ht="14.4" x14ac:dyDescent="0.3">
      <c r="B17" s="8" t="s">
        <v>10</v>
      </c>
      <c r="C17" s="21">
        <v>9.3000000000000007</v>
      </c>
      <c r="D17" s="3" t="s">
        <v>2</v>
      </c>
      <c r="M17" s="6"/>
    </row>
    <row r="18" spans="2:21" ht="14.4" x14ac:dyDescent="0.3">
      <c r="B18" s="8" t="s">
        <v>9</v>
      </c>
      <c r="C18" s="21">
        <v>9.1</v>
      </c>
      <c r="D18" s="3" t="s">
        <v>2</v>
      </c>
      <c r="M18" s="6"/>
    </row>
    <row r="19" spans="2:21" ht="14.4" hidden="1" x14ac:dyDescent="0.3">
      <c r="B19" s="8" t="s">
        <v>54</v>
      </c>
      <c r="C19" s="3">
        <f>IF(C12&gt;0,VLOOKUP(C13,Plan1!$C$3:$E$34,3,0)," ")</f>
        <v>0.37</v>
      </c>
      <c r="D19" s="3" t="s">
        <v>0</v>
      </c>
      <c r="F19" s="3">
        <f>IF(F12&gt;0,VLOOKUP(F13,Plan1!$C$3:$E$34,3,0)," ")</f>
        <v>0.37</v>
      </c>
      <c r="G19" s="3" t="s">
        <v>0</v>
      </c>
      <c r="I19" s="3" t="str">
        <f>IF(I12&gt;0,VLOOKUP(I13,Plan1!$C$3:$E$34,3,0)," ")</f>
        <v xml:space="preserve"> </v>
      </c>
      <c r="J19" s="3" t="s">
        <v>0</v>
      </c>
      <c r="L19" s="3" t="str">
        <f>IF(L12&gt;0,VLOOKUP(L13,Plan1!$C$3:$E$34,3,0)," ")</f>
        <v xml:space="preserve"> </v>
      </c>
      <c r="M19" s="6" t="s">
        <v>0</v>
      </c>
      <c r="U19" s="16"/>
    </row>
    <row r="20" spans="2:21" ht="14.4" hidden="1" x14ac:dyDescent="0.3">
      <c r="B20" s="8" t="s">
        <v>6</v>
      </c>
      <c r="C20" s="3">
        <f>IF(C12&gt;0,VLOOKUP(C13,Plan1!$C$3:$E$34,2,0)," ")</f>
        <v>1.7000000000000001E-2</v>
      </c>
      <c r="D20" s="3" t="s">
        <v>2</v>
      </c>
      <c r="F20" s="3">
        <f>IF(F12&gt;0,VLOOKUP(F13,Plan1!$C$3:$E$34,2,0)," ")</f>
        <v>1.7000000000000001E-2</v>
      </c>
      <c r="G20" s="3" t="s">
        <v>2</v>
      </c>
      <c r="I20" s="3" t="str">
        <f>IF(I12&gt;0,VLOOKUP(I13,Plan1!$C$3:$E$34,2,0)," ")</f>
        <v xml:space="preserve"> </v>
      </c>
      <c r="J20" s="3" t="s">
        <v>2</v>
      </c>
      <c r="L20" s="3" t="str">
        <f>IF(L12&gt;0,VLOOKUP(L13,Plan1!$C$3:$E$34,2,0)," ")</f>
        <v xml:space="preserve"> </v>
      </c>
      <c r="M20" s="6" t="s">
        <v>2</v>
      </c>
      <c r="U20" s="16"/>
    </row>
    <row r="21" spans="2:21" ht="14.4" hidden="1" x14ac:dyDescent="0.3">
      <c r="B21" s="7" t="s">
        <v>55</v>
      </c>
      <c r="C21" s="3">
        <f>IF(C12&gt;0,VLOOKUP(C12,Plan1!$N$1:$O$7,2,0)," ")</f>
        <v>3</v>
      </c>
      <c r="F21" s="3">
        <f>IF(F12&gt;0,VLOOKUP(F12,Plan1!$N$1:$O$7,2,0)," ")</f>
        <v>3</v>
      </c>
      <c r="I21" s="3" t="str">
        <f>IF(I12&gt;0,VLOOKUP(I12,Plan1!$N$1:$O$7,2,0)," ")</f>
        <v xml:space="preserve"> </v>
      </c>
      <c r="L21" s="3" t="str">
        <f>IF(L12&gt;0,VLOOKUP(L12,Plan1!$N$1:$O$7,2,0)," ")</f>
        <v xml:space="preserve"> </v>
      </c>
      <c r="M21" s="6"/>
    </row>
    <row r="22" spans="2:21" ht="14.4" hidden="1" x14ac:dyDescent="0.3">
      <c r="B22" s="7" t="s">
        <v>71</v>
      </c>
      <c r="C22" s="3">
        <f>IF(C12=Plan1!$N$3,Plan1!$E$22,0)</f>
        <v>0.40699999999999997</v>
      </c>
      <c r="F22" s="3">
        <f>IF(F12=Plan1!$N$3,Plan1!$E$22,0)</f>
        <v>0.40699999999999997</v>
      </c>
      <c r="I22" s="3">
        <f>IF(I12=Plan1!$N$3,Plan1!$E$22,0)</f>
        <v>0</v>
      </c>
      <c r="L22" s="3">
        <f>IF(L12=Plan1!$N$3,Plan1!$E$22,0)</f>
        <v>0</v>
      </c>
      <c r="M22" s="6"/>
    </row>
    <row r="23" spans="2:21" ht="14.4" hidden="1" x14ac:dyDescent="0.3">
      <c r="B23" s="8" t="s">
        <v>72</v>
      </c>
      <c r="C23" s="3">
        <f>IF(C12=Plan1!$N$3,Plan1!$D$22,0)</f>
        <v>9.4999999999999998E-3</v>
      </c>
      <c r="F23" s="3">
        <f>IF(F12=Plan1!$N$3,Plan1!$D$22,0)</f>
        <v>9.4999999999999998E-3</v>
      </c>
      <c r="I23" s="3">
        <f>IF(I12=Plan1!$N$3,Plan1!$D$22,0)</f>
        <v>0</v>
      </c>
      <c r="L23" s="3">
        <f>IF(L12=Plan1!$N$3,Plan1!$D$22,0)</f>
        <v>0</v>
      </c>
      <c r="M23" s="6"/>
    </row>
    <row r="24" spans="2:21" ht="14.4" hidden="1" x14ac:dyDescent="0.3">
      <c r="B24" s="8" t="s">
        <v>19</v>
      </c>
      <c r="C24" s="14">
        <f>IF(C12&gt;0,C21*C20+C23," ")</f>
        <v>6.0500000000000005E-2</v>
      </c>
      <c r="D24" s="3" t="s">
        <v>2</v>
      </c>
      <c r="F24" s="14">
        <f>IF(F12&gt;0,F21*F20+F23," ")</f>
        <v>6.0500000000000005E-2</v>
      </c>
      <c r="G24" s="3" t="s">
        <v>2</v>
      </c>
      <c r="I24" s="14" t="str">
        <f>IF(I12&gt;0,I21*I20+I23," ")</f>
        <v xml:space="preserve"> </v>
      </c>
      <c r="J24" s="3" t="s">
        <v>2</v>
      </c>
      <c r="L24" s="14" t="str">
        <f>IF(L12&gt;0,L21*L20+L23," ")</f>
        <v xml:space="preserve"> </v>
      </c>
      <c r="M24" s="6" t="s">
        <v>2</v>
      </c>
    </row>
    <row r="25" spans="2:21" ht="14.4" hidden="1" x14ac:dyDescent="0.3">
      <c r="B25" s="8" t="s">
        <v>18</v>
      </c>
      <c r="C25" s="15">
        <f>IF(C12&gt;0,C19*C21+C22," ")</f>
        <v>1.5169999999999999</v>
      </c>
      <c r="D25" s="3" t="s">
        <v>0</v>
      </c>
      <c r="F25" s="15">
        <f>IF(F12&gt;0,F19*F21+F22," ")</f>
        <v>1.5169999999999999</v>
      </c>
      <c r="G25" s="3" t="s">
        <v>0</v>
      </c>
      <c r="I25" s="15" t="str">
        <f>IF(I12&gt;0,I19*I21+I22," ")</f>
        <v xml:space="preserve"> </v>
      </c>
      <c r="J25" s="3" t="s">
        <v>0</v>
      </c>
      <c r="L25" s="15" t="str">
        <f>IF(L12&gt;0,L19*L21+L22," ")</f>
        <v xml:space="preserve"> </v>
      </c>
      <c r="M25" s="6" t="s">
        <v>0</v>
      </c>
    </row>
    <row r="26" spans="2:21" ht="14.4" hidden="1" x14ac:dyDescent="0.3">
      <c r="B26" s="8" t="s">
        <v>7</v>
      </c>
      <c r="C26" s="15">
        <f>0.00471*60^2</f>
        <v>16.956</v>
      </c>
      <c r="D26" s="3" t="s">
        <v>8</v>
      </c>
      <c r="F26" s="15">
        <f>0.00471*60^2</f>
        <v>16.956</v>
      </c>
      <c r="G26" s="3" t="s">
        <v>8</v>
      </c>
      <c r="I26" s="15">
        <f>0.00471*60^2</f>
        <v>16.956</v>
      </c>
      <c r="J26" s="3" t="s">
        <v>8</v>
      </c>
      <c r="L26" s="15">
        <f>0.00471*60^2</f>
        <v>16.956</v>
      </c>
      <c r="M26" s="6" t="s">
        <v>8</v>
      </c>
    </row>
    <row r="27" spans="2:21" ht="14.4" hidden="1" x14ac:dyDescent="0.3">
      <c r="B27" s="8" t="s">
        <v>79</v>
      </c>
      <c r="C27" s="15">
        <f>IF(C12&gt;0,ROUND(C26*C14/2*C24*COS(PI()/180*C16),2)," ")</f>
        <v>-20.52</v>
      </c>
      <c r="F27" s="15">
        <f>IF(F12&gt;0,ROUND(F26*F14/2*F24*COS(PI()/180*F16),2)," ")</f>
        <v>20.52</v>
      </c>
      <c r="I27" s="15" t="str">
        <f>IF(I12&gt;0,ROUND(I26*I14/2*I24*COS(PI()/180*I16),2)," ")</f>
        <v xml:space="preserve"> </v>
      </c>
      <c r="L27" s="15" t="str">
        <f>IF(L12&gt;0,ROUND(L26*L14/2*L24*COS(PI()/180*L16),2)," ")</f>
        <v xml:space="preserve"> </v>
      </c>
      <c r="M27" s="6"/>
    </row>
    <row r="28" spans="2:21" ht="14.4" hidden="1" x14ac:dyDescent="0.3">
      <c r="B28" s="8" t="s">
        <v>80</v>
      </c>
      <c r="C28" s="15">
        <f>IF(C12&gt;0,ROUND(C26*C14/2*C24*SIN(PI()/180*C16),2)," ")</f>
        <v>0</v>
      </c>
      <c r="F28" s="15">
        <f>IF(F12&gt;0,ROUND(F26*F14/2*F24*SIN(PI()/180*F16),2)," ")</f>
        <v>0</v>
      </c>
      <c r="I28" s="15" t="str">
        <f>IF(I12&gt;0,ROUND(I26*I14/2*I24*SIN(PI()/180*I16),2)," ")</f>
        <v xml:space="preserve"> </v>
      </c>
      <c r="L28" s="15" t="str">
        <f>IF(L12&gt;0,ROUND(L26*L14/2*L24*SIN(PI()/180*L16),2)," ")</f>
        <v xml:space="preserve"> </v>
      </c>
      <c r="M28" s="6"/>
    </row>
    <row r="29" spans="2:21" ht="14.4" hidden="1" x14ac:dyDescent="0.3">
      <c r="B29" s="8" t="s">
        <v>11</v>
      </c>
      <c r="C29" s="15">
        <f>IF(C12&gt;0,(C25*C14^2)/(8*C15)," ")</f>
        <v>606.79999999999995</v>
      </c>
      <c r="D29" s="3" t="s">
        <v>1</v>
      </c>
      <c r="F29" s="15">
        <f>IF(F12&gt;0,(F25*F14^2)/(8*F15)," ")</f>
        <v>606.79999999999995</v>
      </c>
      <c r="G29" s="3" t="s">
        <v>1</v>
      </c>
      <c r="I29" s="15" t="str">
        <f>IF(I12&gt;0,(I25*I14^2)/(8*I15)," ")</f>
        <v xml:space="preserve"> </v>
      </c>
      <c r="J29" s="3" t="s">
        <v>1</v>
      </c>
      <c r="L29" s="15" t="str">
        <f>IF(L12&gt;0,(L25*L14^2)/(8*L15)," ")</f>
        <v xml:space="preserve"> </v>
      </c>
      <c r="M29" s="6" t="s">
        <v>1</v>
      </c>
    </row>
    <row r="30" spans="2:21" ht="14.4" hidden="1" x14ac:dyDescent="0.3">
      <c r="B30" s="8" t="s">
        <v>56</v>
      </c>
      <c r="C30" s="15">
        <f>IF(C12=0,"",ROUND(C29*COS(PI()/180*C16),2))</f>
        <v>-606.79999999999995</v>
      </c>
      <c r="D30" s="16"/>
      <c r="E30" s="16"/>
      <c r="F30" s="15">
        <f>IF(F12=0,"",ROUND(F29*COS(PI()/180*F16),2))</f>
        <v>606.79999999999995</v>
      </c>
      <c r="I30" s="15" t="str">
        <f>IF(I12=0,"",ROUND(I29*COS(PI()/180*I16),2))</f>
        <v/>
      </c>
      <c r="L30" s="15" t="str">
        <f>IF(L12=0,"",ROUND(L29*COS(PI()/180*L16),2))</f>
        <v/>
      </c>
      <c r="M30" s="6"/>
    </row>
    <row r="31" spans="2:21" ht="14.4" hidden="1" x14ac:dyDescent="0.3">
      <c r="B31" s="8" t="s">
        <v>57</v>
      </c>
      <c r="C31" s="15">
        <f>IF(C12=0,"",ROUND(C29*SIN(PI()/180*C16),2))</f>
        <v>0</v>
      </c>
      <c r="F31" s="15">
        <f>IF(F12=0,"",ROUND(F29*SIN(PI()/180*F16),2))</f>
        <v>0</v>
      </c>
      <c r="I31" s="15" t="str">
        <f>IF(I12=0,"",ROUND(I29*SIN(PI()/180*I16),2))</f>
        <v/>
      </c>
      <c r="L31" s="15" t="str">
        <f>IF(L12=0,"",ROUND(L29*SIN(PI()/180*L16),2))</f>
        <v/>
      </c>
      <c r="M31" s="6"/>
    </row>
    <row r="32" spans="2:21" ht="14.4" hidden="1" x14ac:dyDescent="0.3">
      <c r="B32" s="8" t="s">
        <v>58</v>
      </c>
      <c r="C32" s="15">
        <f>IF(C12&gt;0,SQRT(SUM(C30:L30)^2+SUM(C31:L31)^2)+SQRT(SUM(C27:L27)^2+SUM(C28:L28)^2),0)</f>
        <v>0</v>
      </c>
      <c r="D32" s="3" t="s">
        <v>1</v>
      </c>
      <c r="F32" s="16"/>
      <c r="I32" s="16"/>
      <c r="L32" s="16"/>
      <c r="M32" s="6"/>
    </row>
    <row r="33" spans="2:13" ht="31.5" customHeight="1" x14ac:dyDescent="0.3">
      <c r="B33" s="8"/>
      <c r="C33" s="60"/>
      <c r="D33" s="60"/>
      <c r="E33" s="27"/>
      <c r="F33" s="28">
        <f>IF(C12=0,"",C32*C18/(C17*0.9-0.6-0.1))</f>
        <v>0</v>
      </c>
      <c r="G33" s="29" t="s">
        <v>1</v>
      </c>
      <c r="I33" s="16"/>
      <c r="L33" s="16"/>
      <c r="M33" s="6"/>
    </row>
    <row r="34" spans="2:13" ht="31.5" customHeight="1" x14ac:dyDescent="0.3">
      <c r="B34" s="11"/>
      <c r="C34" s="61"/>
      <c r="D34" s="61"/>
      <c r="E34" s="30"/>
      <c r="F34" s="31" t="str">
        <f>IF(C32=0,"",IF(SUM(C30:L30)=0,ROUNDUP(ATAN(SUM(C31:L31)/1)*180/PI(),0),IF(SUM(C30:L30)&lt;0,ATAN(SUM(C31:L31)/SUM(C30:L30))*180/PI()+180,ATAN(SUM(C31:L31)/SUM(C30:L30))*180/PI())))</f>
        <v/>
      </c>
      <c r="G34" s="32" t="s">
        <v>5</v>
      </c>
      <c r="H34" s="12"/>
      <c r="I34" s="12"/>
      <c r="J34" s="12"/>
      <c r="K34" s="12"/>
      <c r="L34" s="12"/>
      <c r="M34" s="13"/>
    </row>
    <row r="35" spans="2:13" ht="14.4" x14ac:dyDescent="0.3"/>
    <row r="36" spans="2:13" ht="19.8" x14ac:dyDescent="0.4">
      <c r="B36" s="56" t="s">
        <v>41</v>
      </c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8"/>
    </row>
    <row r="37" spans="2:13" ht="14.4" x14ac:dyDescent="0.3">
      <c r="B37" s="4"/>
      <c r="C37" s="53" t="s">
        <v>20</v>
      </c>
      <c r="D37" s="53"/>
      <c r="F37" s="53" t="s">
        <v>21</v>
      </c>
      <c r="G37" s="53"/>
      <c r="I37" s="53" t="s">
        <v>22</v>
      </c>
      <c r="J37" s="53"/>
      <c r="L37" s="53" t="s">
        <v>39</v>
      </c>
      <c r="M37" s="54"/>
    </row>
    <row r="38" spans="2:13" ht="14.4" x14ac:dyDescent="0.3">
      <c r="B38" s="7" t="s">
        <v>66</v>
      </c>
      <c r="C38" s="50"/>
      <c r="D38" s="50"/>
      <c r="F38" s="50"/>
      <c r="G38" s="50"/>
      <c r="I38" s="50"/>
      <c r="J38" s="50"/>
      <c r="L38" s="50"/>
      <c r="M38" s="55"/>
    </row>
    <row r="39" spans="2:13" ht="14.4" x14ac:dyDescent="0.3">
      <c r="B39" s="7" t="s">
        <v>53</v>
      </c>
      <c r="C39" s="50"/>
      <c r="D39" s="50"/>
      <c r="F39" s="50"/>
      <c r="G39" s="50"/>
      <c r="I39" s="50"/>
      <c r="J39" s="50"/>
      <c r="L39" s="50"/>
      <c r="M39" s="55"/>
    </row>
    <row r="40" spans="2:13" ht="14.4" x14ac:dyDescent="0.3">
      <c r="B40" s="8" t="s">
        <v>3</v>
      </c>
      <c r="C40" s="22"/>
      <c r="D40" s="3" t="s">
        <v>2</v>
      </c>
      <c r="F40" s="22"/>
      <c r="G40" s="3" t="s">
        <v>2</v>
      </c>
      <c r="I40" s="22"/>
      <c r="J40" s="3" t="s">
        <v>2</v>
      </c>
      <c r="L40" s="22"/>
      <c r="M40" s="6" t="s">
        <v>2</v>
      </c>
    </row>
    <row r="41" spans="2:13" ht="14.4" x14ac:dyDescent="0.3">
      <c r="B41" s="8" t="s">
        <v>4</v>
      </c>
      <c r="C41" s="21"/>
      <c r="D41" s="3" t="s">
        <v>2</v>
      </c>
      <c r="F41" s="21"/>
      <c r="G41" s="3" t="s">
        <v>2</v>
      </c>
      <c r="I41" s="21"/>
      <c r="J41" s="3" t="s">
        <v>2</v>
      </c>
      <c r="L41" s="21"/>
      <c r="M41" s="6" t="s">
        <v>2</v>
      </c>
    </row>
    <row r="42" spans="2:13" ht="14.4" x14ac:dyDescent="0.3">
      <c r="B42" s="8" t="s">
        <v>59</v>
      </c>
      <c r="C42" s="21"/>
      <c r="D42" s="9" t="s">
        <v>5</v>
      </c>
      <c r="F42" s="21"/>
      <c r="G42" s="9" t="s">
        <v>5</v>
      </c>
      <c r="I42" s="21"/>
      <c r="J42" s="9" t="s">
        <v>5</v>
      </c>
      <c r="L42" s="21"/>
      <c r="M42" s="10" t="s">
        <v>5</v>
      </c>
    </row>
    <row r="43" spans="2:13" ht="14.4" x14ac:dyDescent="0.3">
      <c r="B43" s="8" t="s">
        <v>10</v>
      </c>
      <c r="C43" s="21"/>
      <c r="D43" s="3" t="s">
        <v>2</v>
      </c>
      <c r="M43" s="6"/>
    </row>
    <row r="44" spans="2:13" ht="14.4" x14ac:dyDescent="0.3">
      <c r="B44" s="8" t="s">
        <v>9</v>
      </c>
      <c r="C44" s="21"/>
      <c r="D44" s="3" t="s">
        <v>2</v>
      </c>
      <c r="M44" s="6"/>
    </row>
    <row r="45" spans="2:13" ht="14.4" hidden="1" x14ac:dyDescent="0.3">
      <c r="B45" s="8" t="s">
        <v>54</v>
      </c>
      <c r="C45" s="3" t="str">
        <f>IF(C38&gt;0,VLOOKUP(C39,Plan1!$C$3:$E$34,3,0)," ")</f>
        <v xml:space="preserve"> </v>
      </c>
      <c r="D45" s="3" t="s">
        <v>0</v>
      </c>
      <c r="F45" s="3" t="str">
        <f>IF(F38&gt;0,VLOOKUP(F39,Plan1!$C$3:$E$34,3,0)," ")</f>
        <v xml:space="preserve"> </v>
      </c>
      <c r="G45" s="3" t="s">
        <v>0</v>
      </c>
      <c r="I45" s="3" t="str">
        <f>IF(I38&gt;0,VLOOKUP(I39,Plan1!$C$3:$E$34,3,0)," ")</f>
        <v xml:space="preserve"> </v>
      </c>
      <c r="J45" s="3" t="s">
        <v>0</v>
      </c>
      <c r="L45" s="3" t="str">
        <f>IF(L38&gt;0,VLOOKUP(L39,Plan1!$C$3:$E$34,3,0)," ")</f>
        <v xml:space="preserve"> </v>
      </c>
      <c r="M45" s="6" t="s">
        <v>0</v>
      </c>
    </row>
    <row r="46" spans="2:13" ht="14.4" hidden="1" x14ac:dyDescent="0.3">
      <c r="B46" s="8" t="s">
        <v>6</v>
      </c>
      <c r="C46" s="3" t="str">
        <f>IF(C38&gt;0,VLOOKUP(C39,Plan1!$C$3:$E$34,2,0)," ")</f>
        <v xml:space="preserve"> </v>
      </c>
      <c r="D46" s="3" t="s">
        <v>2</v>
      </c>
      <c r="F46" s="3" t="str">
        <f>IF(F38&gt;0,VLOOKUP(F39,Plan1!$C$3:$E$34,2,0)," ")</f>
        <v xml:space="preserve"> </v>
      </c>
      <c r="G46" s="3" t="s">
        <v>2</v>
      </c>
      <c r="I46" s="3" t="str">
        <f>IF(I38&gt;0,VLOOKUP(I39,Plan1!$C$3:$E$34,2,0)," ")</f>
        <v xml:space="preserve"> </v>
      </c>
      <c r="J46" s="3" t="s">
        <v>2</v>
      </c>
      <c r="L46" s="3" t="str">
        <f>IF(L38&gt;0,VLOOKUP(L39,Plan1!$C$3:$E$34,2,0)," ")</f>
        <v xml:space="preserve"> </v>
      </c>
      <c r="M46" s="6" t="s">
        <v>2</v>
      </c>
    </row>
    <row r="47" spans="2:13" ht="14.4" hidden="1" x14ac:dyDescent="0.3">
      <c r="B47" s="7" t="s">
        <v>55</v>
      </c>
      <c r="C47" s="3" t="str">
        <f>IF(C38&gt;0,VLOOKUP(C38,Plan1!$N$1:$O$7,2,0)," ")</f>
        <v xml:space="preserve"> </v>
      </c>
      <c r="F47" s="3" t="str">
        <f>IF(F38&gt;0,VLOOKUP(F38,Plan1!$N$1:$O$7,2,0)," ")</f>
        <v xml:space="preserve"> </v>
      </c>
      <c r="I47" s="3" t="str">
        <f>IF(I38&gt;0,VLOOKUP(I38,Plan1!$N$1:$O$7,2,0)," ")</f>
        <v xml:space="preserve"> </v>
      </c>
      <c r="L47" s="3" t="str">
        <f>IF(L38&gt;0,VLOOKUP(L38,Plan1!$N$1:$O$7,2,0)," ")</f>
        <v xml:space="preserve"> </v>
      </c>
      <c r="M47" s="6"/>
    </row>
    <row r="48" spans="2:13" ht="14.4" hidden="1" x14ac:dyDescent="0.3">
      <c r="B48" s="7" t="s">
        <v>71</v>
      </c>
      <c r="C48" s="3">
        <f>IF(C38=Plan1!$N$3,Plan1!$E$22,0)</f>
        <v>0</v>
      </c>
      <c r="F48" s="3">
        <f>IF(F38=Plan1!$N$3,Plan1!$E$22,0)</f>
        <v>0</v>
      </c>
      <c r="I48" s="3">
        <f>IF(I38=Plan1!$N$3,Plan1!$E$22,0)</f>
        <v>0</v>
      </c>
      <c r="L48" s="3">
        <f>IF(L38=Plan1!$N$3,Plan1!$E$22,0)</f>
        <v>0</v>
      </c>
      <c r="M48" s="6"/>
    </row>
    <row r="49" spans="2:13" ht="14.4" hidden="1" x14ac:dyDescent="0.3">
      <c r="B49" s="8" t="s">
        <v>72</v>
      </c>
      <c r="C49" s="3">
        <f>IF(C38=Plan1!$N$3,Plan1!$D$22,0)</f>
        <v>0</v>
      </c>
      <c r="F49" s="3">
        <f>IF(F38=Plan1!$N$3,Plan1!$D$22,0)</f>
        <v>0</v>
      </c>
      <c r="I49" s="3">
        <f>IF(I38=Plan1!$N$3,Plan1!$D$22,0)</f>
        <v>0</v>
      </c>
      <c r="L49" s="3">
        <f>IF(L38=Plan1!$N$3,Plan1!$D$22,0)</f>
        <v>0</v>
      </c>
      <c r="M49" s="6"/>
    </row>
    <row r="50" spans="2:13" ht="14.4" hidden="1" x14ac:dyDescent="0.3">
      <c r="B50" s="8" t="s">
        <v>19</v>
      </c>
      <c r="C50" s="14" t="str">
        <f>IF(C38&gt;0,C47*C46+C49," ")</f>
        <v xml:space="preserve"> </v>
      </c>
      <c r="D50" s="3" t="s">
        <v>2</v>
      </c>
      <c r="F50" s="14" t="str">
        <f>IF(F38&gt;0,F47*F46+F49," ")</f>
        <v xml:space="preserve"> </v>
      </c>
      <c r="G50" s="3" t="s">
        <v>2</v>
      </c>
      <c r="I50" s="14" t="str">
        <f>IF(I38&gt;0,I47*I46+I49," ")</f>
        <v xml:space="preserve"> </v>
      </c>
      <c r="J50" s="3" t="s">
        <v>2</v>
      </c>
      <c r="L50" s="14" t="str">
        <f>IF(L38&gt;0,L47*L46+L49," ")</f>
        <v xml:space="preserve"> </v>
      </c>
      <c r="M50" s="6" t="s">
        <v>2</v>
      </c>
    </row>
    <row r="51" spans="2:13" ht="14.4" hidden="1" x14ac:dyDescent="0.3">
      <c r="B51" s="8" t="s">
        <v>18</v>
      </c>
      <c r="C51" s="15" t="str">
        <f>IF(C38&gt;0,C45*C47+C48," ")</f>
        <v xml:space="preserve"> </v>
      </c>
      <c r="D51" s="3" t="s">
        <v>0</v>
      </c>
      <c r="F51" s="15" t="str">
        <f>IF(F38&gt;0,F45*F47+F48," ")</f>
        <v xml:space="preserve"> </v>
      </c>
      <c r="G51" s="3" t="s">
        <v>0</v>
      </c>
      <c r="I51" s="15" t="str">
        <f>IF(I38&gt;0,I45*I47+I48," ")</f>
        <v xml:space="preserve"> </v>
      </c>
      <c r="J51" s="3" t="s">
        <v>0</v>
      </c>
      <c r="L51" s="15" t="str">
        <f>IF(L38&gt;0,L45*L47+L48," ")</f>
        <v xml:space="preserve"> </v>
      </c>
      <c r="M51" s="6" t="s">
        <v>0</v>
      </c>
    </row>
    <row r="52" spans="2:13" ht="14.4" hidden="1" x14ac:dyDescent="0.3">
      <c r="B52" s="8" t="s">
        <v>7</v>
      </c>
      <c r="C52" s="15">
        <f>0.00471*60^2</f>
        <v>16.956</v>
      </c>
      <c r="D52" s="3" t="s">
        <v>8</v>
      </c>
      <c r="F52" s="15">
        <f>0.00471*60^2</f>
        <v>16.956</v>
      </c>
      <c r="G52" s="3" t="s">
        <v>8</v>
      </c>
      <c r="I52" s="15">
        <f>0.00471*60^2</f>
        <v>16.956</v>
      </c>
      <c r="J52" s="3" t="s">
        <v>8</v>
      </c>
      <c r="L52" s="15">
        <f>0.00471*60^2</f>
        <v>16.956</v>
      </c>
      <c r="M52" s="6" t="s">
        <v>8</v>
      </c>
    </row>
    <row r="53" spans="2:13" ht="14.4" hidden="1" x14ac:dyDescent="0.3">
      <c r="B53" s="8" t="s">
        <v>79</v>
      </c>
      <c r="C53" s="15" t="str">
        <f>IF(C38&gt;0,ROUND(C52*C40/2*C50*COS(PI()/180*C42),2)," ")</f>
        <v xml:space="preserve"> </v>
      </c>
      <c r="F53" s="15" t="str">
        <f>IF(F38&gt;0,ROUND(F52*F40/2*F50*COS(PI()/180*F42),2)," ")</f>
        <v xml:space="preserve"> </v>
      </c>
      <c r="I53" s="15" t="str">
        <f>IF(I38&gt;0,ROUND(I52*I40/2*I50*COS(PI()/180*I42),2)," ")</f>
        <v xml:space="preserve"> </v>
      </c>
      <c r="L53" s="15" t="str">
        <f>IF(L38&gt;0,ROUND(L52*L40/2*L50*COS(PI()/180*L42),2)," ")</f>
        <v xml:space="preserve"> </v>
      </c>
      <c r="M53" s="6"/>
    </row>
    <row r="54" spans="2:13" ht="14.4" hidden="1" x14ac:dyDescent="0.3">
      <c r="B54" s="8" t="s">
        <v>80</v>
      </c>
      <c r="C54" s="15" t="str">
        <f>IF(C38&gt;0,ROUND(C52*C40/2*C50*SIN(PI()/180*C42),2)," ")</f>
        <v xml:space="preserve"> </v>
      </c>
      <c r="F54" s="15" t="str">
        <f>IF(F38&gt;0,ROUND(F52*F40/2*F50*SIN(PI()/180*F42),2)," ")</f>
        <v xml:space="preserve"> </v>
      </c>
      <c r="I54" s="15" t="str">
        <f>IF(I38&gt;0,ROUND(I52*I40/2*I50*SIN(PI()/180*I42),2)," ")</f>
        <v xml:space="preserve"> </v>
      </c>
      <c r="L54" s="15" t="str">
        <f>IF(L38&gt;0,ROUND(L52*L40/2*L50*SIN(PI()/180*L42),2)," ")</f>
        <v xml:space="preserve"> </v>
      </c>
      <c r="M54" s="6"/>
    </row>
    <row r="55" spans="2:13" ht="14.4" hidden="1" x14ac:dyDescent="0.3">
      <c r="B55" s="8" t="s">
        <v>11</v>
      </c>
      <c r="C55" s="15" t="str">
        <f>IF(C38&gt;0,(C51*C40^2)/(8*C41)," ")</f>
        <v xml:space="preserve"> </v>
      </c>
      <c r="D55" s="3" t="s">
        <v>1</v>
      </c>
      <c r="F55" s="15" t="str">
        <f>IF(F38&gt;0,(F51*F40^2)/(8*F41)," ")</f>
        <v xml:space="preserve"> </v>
      </c>
      <c r="G55" s="3" t="s">
        <v>1</v>
      </c>
      <c r="I55" s="15" t="str">
        <f>IF(I38&gt;0,(I51*I40^2)/(8*I41)," ")</f>
        <v xml:space="preserve"> </v>
      </c>
      <c r="J55" s="3" t="s">
        <v>1</v>
      </c>
      <c r="L55" s="15" t="str">
        <f>IF(L38&gt;0,(L51*L40^2)/(8*L41)," ")</f>
        <v xml:space="preserve"> </v>
      </c>
      <c r="M55" s="6" t="s">
        <v>1</v>
      </c>
    </row>
    <row r="56" spans="2:13" ht="14.4" hidden="1" x14ac:dyDescent="0.3">
      <c r="B56" s="8" t="s">
        <v>56</v>
      </c>
      <c r="C56" s="15" t="str">
        <f>IF(C38=0,"",ROUND(C55*COS(PI()/180*C42),2))</f>
        <v/>
      </c>
      <c r="D56" s="16"/>
      <c r="F56" s="15" t="str">
        <f>IF(F38=0,"",ROUND(F55*COS(PI()/180*F42),2))</f>
        <v/>
      </c>
      <c r="G56" s="16"/>
      <c r="I56" s="15" t="str">
        <f>IF(I38=0,"",ROUND(I55*COS(PI()/180*I42),2))</f>
        <v/>
      </c>
      <c r="J56" s="16"/>
      <c r="L56" s="15" t="str">
        <f>IF(L38=0,"",ROUND(L55*COS(PI()/180*L42),2))</f>
        <v/>
      </c>
      <c r="M56" s="19"/>
    </row>
    <row r="57" spans="2:13" ht="14.4" hidden="1" x14ac:dyDescent="0.3">
      <c r="B57" s="8" t="s">
        <v>57</v>
      </c>
      <c r="C57" s="15" t="str">
        <f>IF(C38=0,"",ROUND(C55*SIN(PI()/180*C42),2))</f>
        <v/>
      </c>
      <c r="F57" s="15" t="str">
        <f>IF(F38=0,"",ROUND(F55*SIN(PI()/180*F42),2))</f>
        <v/>
      </c>
      <c r="I57" s="15" t="str">
        <f>IF(I38=0,"",ROUND(I55*SIN(PI()/180*I42),2))</f>
        <v/>
      </c>
      <c r="L57" s="15" t="str">
        <f>IF(L38=0,"",ROUND(L55*SIN(PI()/180*L42),2))</f>
        <v/>
      </c>
      <c r="M57" s="6"/>
    </row>
    <row r="58" spans="2:13" ht="14.4" hidden="1" x14ac:dyDescent="0.3">
      <c r="B58" s="8" t="s">
        <v>81</v>
      </c>
      <c r="C58" s="15">
        <f>IF(C38&gt;0,SQRT(SUM(C56:L56)^2+SUM(C57:L57)^2)+SQRT(SUM(C53:L53)^2+SUM(C54:L54)^2),0)</f>
        <v>0</v>
      </c>
      <c r="D58" s="3" t="s">
        <v>1</v>
      </c>
      <c r="F58" s="16"/>
      <c r="I58" s="16"/>
      <c r="L58" s="16"/>
      <c r="M58" s="6"/>
    </row>
    <row r="59" spans="2:13" ht="31.5" customHeight="1" x14ac:dyDescent="0.3">
      <c r="B59" s="8"/>
      <c r="C59" s="60" t="s">
        <v>86</v>
      </c>
      <c r="D59" s="60"/>
      <c r="E59" s="27"/>
      <c r="F59" s="28" t="str">
        <f>IF(C38=0,"",C58*C44/(C43*0.9-0.6-0.1))</f>
        <v/>
      </c>
      <c r="G59" s="29" t="s">
        <v>1</v>
      </c>
      <c r="I59" s="16"/>
      <c r="L59" s="16"/>
      <c r="M59" s="6"/>
    </row>
    <row r="60" spans="2:13" ht="31.5" customHeight="1" x14ac:dyDescent="0.3">
      <c r="B60" s="11"/>
      <c r="C60" s="61"/>
      <c r="D60" s="61"/>
      <c r="E60" s="30"/>
      <c r="F60" s="31" t="str">
        <f>IF(C58=0,"",IF(SUM(C56:L56)=0,ROUNDUP(ATAN(SUM(C57:L57)/1)*180/PI(),0),IF(SUM(C56:L56)&lt;0,ATAN(SUM(C57:L57)/SUM(C56:L56))*180/PI()+180,ATAN(SUM(C57:L57)/SUM(C56:L56))*180/PI())))</f>
        <v/>
      </c>
      <c r="G60" s="32" t="s">
        <v>5</v>
      </c>
      <c r="H60" s="12"/>
      <c r="I60" s="12"/>
      <c r="J60" s="12"/>
      <c r="K60" s="12"/>
      <c r="L60" s="12"/>
      <c r="M60" s="13"/>
    </row>
    <row r="61" spans="2:13" ht="14.4" x14ac:dyDescent="0.3"/>
    <row r="62" spans="2:13" ht="19.8" x14ac:dyDescent="0.4">
      <c r="B62" s="56" t="s">
        <v>38</v>
      </c>
      <c r="C62" s="57"/>
      <c r="D62" s="57"/>
      <c r="E62" s="57"/>
      <c r="F62" s="57"/>
      <c r="G62" s="57"/>
      <c r="H62" s="57"/>
      <c r="I62" s="57"/>
      <c r="J62" s="57"/>
      <c r="K62" s="57"/>
      <c r="L62" s="57"/>
      <c r="M62" s="58"/>
    </row>
    <row r="63" spans="2:13" ht="14.4" x14ac:dyDescent="0.3">
      <c r="B63" s="4"/>
      <c r="C63" s="53" t="s">
        <v>20</v>
      </c>
      <c r="D63" s="53"/>
      <c r="F63" s="53" t="s">
        <v>21</v>
      </c>
      <c r="G63" s="53"/>
      <c r="I63" s="53" t="s">
        <v>22</v>
      </c>
      <c r="J63" s="53"/>
      <c r="L63" s="53" t="s">
        <v>39</v>
      </c>
      <c r="M63" s="54"/>
    </row>
    <row r="64" spans="2:13" ht="14.4" x14ac:dyDescent="0.3">
      <c r="B64" s="7" t="s">
        <v>66</v>
      </c>
      <c r="C64" s="50"/>
      <c r="D64" s="50"/>
      <c r="F64" s="50"/>
      <c r="G64" s="50"/>
      <c r="I64" s="50"/>
      <c r="J64" s="50"/>
      <c r="L64" s="50"/>
      <c r="M64" s="55"/>
    </row>
    <row r="65" spans="2:13" ht="14.4" x14ac:dyDescent="0.3">
      <c r="B65" s="7" t="s">
        <v>53</v>
      </c>
      <c r="C65" s="50"/>
      <c r="D65" s="50"/>
      <c r="F65" s="50"/>
      <c r="G65" s="50"/>
      <c r="I65" s="50"/>
      <c r="J65" s="50"/>
      <c r="L65" s="50"/>
      <c r="M65" s="55"/>
    </row>
    <row r="66" spans="2:13" ht="14.4" x14ac:dyDescent="0.3">
      <c r="B66" s="8" t="s">
        <v>3</v>
      </c>
      <c r="C66" s="22"/>
      <c r="D66" s="3" t="s">
        <v>2</v>
      </c>
      <c r="F66" s="22"/>
      <c r="G66" s="3" t="s">
        <v>2</v>
      </c>
      <c r="I66" s="22"/>
      <c r="J66" s="3" t="s">
        <v>2</v>
      </c>
      <c r="L66" s="22"/>
      <c r="M66" s="6" t="s">
        <v>2</v>
      </c>
    </row>
    <row r="67" spans="2:13" ht="14.4" x14ac:dyDescent="0.3">
      <c r="B67" s="8" t="s">
        <v>4</v>
      </c>
      <c r="C67" s="21"/>
      <c r="D67" s="3" t="s">
        <v>2</v>
      </c>
      <c r="F67" s="21"/>
      <c r="G67" s="3" t="s">
        <v>2</v>
      </c>
      <c r="I67" s="21"/>
      <c r="J67" s="3" t="s">
        <v>2</v>
      </c>
      <c r="L67" s="21"/>
      <c r="M67" s="6" t="s">
        <v>2</v>
      </c>
    </row>
    <row r="68" spans="2:13" ht="14.4" x14ac:dyDescent="0.3">
      <c r="B68" s="8" t="s">
        <v>59</v>
      </c>
      <c r="C68" s="21"/>
      <c r="D68" s="9" t="s">
        <v>5</v>
      </c>
      <c r="F68" s="21"/>
      <c r="G68" s="9" t="s">
        <v>5</v>
      </c>
      <c r="I68" s="21"/>
      <c r="J68" s="9" t="s">
        <v>5</v>
      </c>
      <c r="L68" s="21"/>
      <c r="M68" s="10" t="s">
        <v>5</v>
      </c>
    </row>
    <row r="69" spans="2:13" ht="14.4" x14ac:dyDescent="0.3">
      <c r="B69" s="8" t="s">
        <v>10</v>
      </c>
      <c r="C69" s="21"/>
      <c r="D69" s="3" t="s">
        <v>2</v>
      </c>
      <c r="M69" s="6"/>
    </row>
    <row r="70" spans="2:13" ht="14.4" x14ac:dyDescent="0.3">
      <c r="B70" s="8" t="s">
        <v>9</v>
      </c>
      <c r="C70" s="21"/>
      <c r="D70" s="3" t="s">
        <v>2</v>
      </c>
      <c r="M70" s="6"/>
    </row>
    <row r="71" spans="2:13" ht="14.4" hidden="1" x14ac:dyDescent="0.3">
      <c r="B71" s="8" t="s">
        <v>54</v>
      </c>
      <c r="C71" s="3" t="str">
        <f>IF(C64&gt;0,VLOOKUP(C65,Plan1!$C$3:$E$34,3,0)," ")</f>
        <v xml:space="preserve"> </v>
      </c>
      <c r="D71" s="3" t="s">
        <v>0</v>
      </c>
      <c r="F71" s="3" t="str">
        <f>IF(F64&gt;0,VLOOKUP(F65,Plan1!$C$3:$E$34,3,0)," ")</f>
        <v xml:space="preserve"> </v>
      </c>
      <c r="G71" s="3" t="s">
        <v>0</v>
      </c>
      <c r="I71" s="3" t="str">
        <f>IF(I64&gt;0,VLOOKUP(I65,Plan1!$C$3:$E$34,3,0)," ")</f>
        <v xml:space="preserve"> </v>
      </c>
      <c r="J71" s="3" t="s">
        <v>0</v>
      </c>
      <c r="L71" s="3" t="str">
        <f>IF(L64&gt;0,VLOOKUP(L65,Plan1!$C$3:$E$34,3,0)," ")</f>
        <v xml:space="preserve"> </v>
      </c>
      <c r="M71" s="6" t="s">
        <v>0</v>
      </c>
    </row>
    <row r="72" spans="2:13" ht="14.4" hidden="1" x14ac:dyDescent="0.3">
      <c r="B72" s="8" t="s">
        <v>6</v>
      </c>
      <c r="C72" s="3" t="str">
        <f>IF(C64&gt;0,VLOOKUP(C65,Plan1!$C$3:$E$34,2,0)," ")</f>
        <v xml:space="preserve"> </v>
      </c>
      <c r="D72" s="3" t="s">
        <v>2</v>
      </c>
      <c r="F72" s="3" t="str">
        <f>IF(F64&gt;0,VLOOKUP(F65,Plan1!$C$3:$E$34,2,0)," ")</f>
        <v xml:space="preserve"> </v>
      </c>
      <c r="G72" s="3" t="s">
        <v>2</v>
      </c>
      <c r="I72" s="3" t="str">
        <f>IF(I64&gt;0,VLOOKUP(I65,Plan1!$C$3:$E$34,2,0)," ")</f>
        <v xml:space="preserve"> </v>
      </c>
      <c r="J72" s="3" t="s">
        <v>2</v>
      </c>
      <c r="L72" s="3" t="str">
        <f>IF(L64&gt;0,VLOOKUP(L65,Plan1!$C$3:$E$34,2,0)," ")</f>
        <v xml:space="preserve"> </v>
      </c>
      <c r="M72" s="6" t="s">
        <v>2</v>
      </c>
    </row>
    <row r="73" spans="2:13" ht="14.4" hidden="1" x14ac:dyDescent="0.3">
      <c r="B73" s="7" t="s">
        <v>55</v>
      </c>
      <c r="C73" s="3" t="str">
        <f>IF(C64=0,"",VLOOKUP(C64,Plan1!$N$6:$O$8,2,FALSE))</f>
        <v/>
      </c>
      <c r="F73" s="3" t="str">
        <f>IF(F64=0,"",VLOOKUP(F64,Plan1!$N$6:$O$8,2,FALSE))</f>
        <v/>
      </c>
      <c r="I73" s="3" t="str">
        <f>IF(I64=0,"",VLOOKUP(I64,Plan1!$N$6:$O$8,2,FALSE))</f>
        <v/>
      </c>
      <c r="L73" s="3" t="str">
        <f>IF(L64=0,"",VLOOKUP(L64,Plan1!$N$6:$O$8,2,FALSE))</f>
        <v/>
      </c>
      <c r="M73" s="6"/>
    </row>
    <row r="74" spans="2:13" ht="14.4" hidden="1" x14ac:dyDescent="0.3">
      <c r="B74" s="7" t="s">
        <v>71</v>
      </c>
      <c r="C74" s="3" t="str">
        <f>IF(C64=0,"",IF(C64=Plan1!$N$8,0.407,0))</f>
        <v/>
      </c>
      <c r="F74" s="3" t="str">
        <f>IF(F64=0,"",IF(F64=Plan1!$N$8,0.407,0))</f>
        <v/>
      </c>
      <c r="I74" s="3" t="str">
        <f>IF(I64=0,"",IF(I64=Plan1!$N$8,0.407,0))</f>
        <v/>
      </c>
      <c r="L74" s="3" t="str">
        <f>IF(L64=0,"",IF(L64=Plan1!$N$8,0.407,0))</f>
        <v/>
      </c>
      <c r="M74" s="6"/>
    </row>
    <row r="75" spans="2:13" ht="14.4" hidden="1" x14ac:dyDescent="0.3">
      <c r="B75" s="8" t="s">
        <v>72</v>
      </c>
      <c r="C75" s="3" t="str">
        <f>IF(C64=0,"",IF(C64=Plan1!$N$8,0.0095,0))</f>
        <v/>
      </c>
      <c r="F75" s="3" t="str">
        <f>IF(F64=0,"",IF(F64=Plan1!$N$8,0.0095,0))</f>
        <v/>
      </c>
      <c r="I75" s="3" t="str">
        <f>IF(I64=0,"",IF(I64=Plan1!$N$8,0.0095,0))</f>
        <v/>
      </c>
      <c r="L75" s="3" t="str">
        <f>IF(L64=0,"",IF(L64=Plan1!$N$8,0.0095,0))</f>
        <v/>
      </c>
      <c r="M75" s="6"/>
    </row>
    <row r="76" spans="2:13" ht="14.4" hidden="1" x14ac:dyDescent="0.3">
      <c r="B76" s="8" t="s">
        <v>19</v>
      </c>
      <c r="C76" s="14" t="str">
        <f>IF(C64&gt;0,C73*C72+C75," ")</f>
        <v xml:space="preserve"> </v>
      </c>
      <c r="D76" s="3" t="s">
        <v>2</v>
      </c>
      <c r="F76" s="14" t="str">
        <f>IF(F64&gt;0,F73*F72+F75," ")</f>
        <v xml:space="preserve"> </v>
      </c>
      <c r="G76" s="3" t="s">
        <v>2</v>
      </c>
      <c r="I76" s="14" t="str">
        <f>IF(I64&gt;0,I73*I72+I75," ")</f>
        <v xml:space="preserve"> </v>
      </c>
      <c r="J76" s="3" t="s">
        <v>2</v>
      </c>
      <c r="L76" s="14" t="str">
        <f>IF(L64&gt;0,L73*L72+L75," ")</f>
        <v xml:space="preserve"> </v>
      </c>
      <c r="M76" s="6" t="s">
        <v>2</v>
      </c>
    </row>
    <row r="77" spans="2:13" ht="14.4" hidden="1" x14ac:dyDescent="0.3">
      <c r="B77" s="8" t="s">
        <v>18</v>
      </c>
      <c r="C77" s="15" t="str">
        <f>IF(C64&gt;0,C71*C73+C74," ")</f>
        <v xml:space="preserve"> </v>
      </c>
      <c r="D77" s="3" t="s">
        <v>0</v>
      </c>
      <c r="F77" s="15" t="str">
        <f>IF(F64&gt;0,F71*F73+F74," ")</f>
        <v xml:space="preserve"> </v>
      </c>
      <c r="G77" s="3" t="s">
        <v>0</v>
      </c>
      <c r="I77" s="15" t="str">
        <f>IF(I64&gt;0,I71*I73+I74," ")</f>
        <v xml:space="preserve"> </v>
      </c>
      <c r="J77" s="3" t="s">
        <v>0</v>
      </c>
      <c r="L77" s="15" t="str">
        <f>IF(L64&gt;0,L71*L73+L74," ")</f>
        <v xml:space="preserve"> </v>
      </c>
      <c r="M77" s="6" t="s">
        <v>0</v>
      </c>
    </row>
    <row r="78" spans="2:13" ht="14.4" hidden="1" x14ac:dyDescent="0.3">
      <c r="B78" s="8" t="s">
        <v>7</v>
      </c>
      <c r="C78" s="15">
        <f>0.00471*60^2</f>
        <v>16.956</v>
      </c>
      <c r="D78" s="3" t="s">
        <v>8</v>
      </c>
      <c r="F78" s="15">
        <f>0.00471*60^2</f>
        <v>16.956</v>
      </c>
      <c r="G78" s="3" t="s">
        <v>8</v>
      </c>
      <c r="I78" s="15">
        <f>0.00471*60^2</f>
        <v>16.956</v>
      </c>
      <c r="J78" s="3" t="s">
        <v>8</v>
      </c>
      <c r="L78" s="15">
        <f>0.00471*60^2</f>
        <v>16.956</v>
      </c>
      <c r="M78" s="6" t="s">
        <v>8</v>
      </c>
    </row>
    <row r="79" spans="2:13" ht="14.4" hidden="1" x14ac:dyDescent="0.3">
      <c r="B79" s="8" t="s">
        <v>79</v>
      </c>
      <c r="C79" s="20" t="str">
        <f>IF(C64&gt;0,ROUND(C78*C66/2*C76*COS(PI()/180*C68),2)," ")</f>
        <v xml:space="preserve"> </v>
      </c>
      <c r="F79" s="15" t="str">
        <f>IF(F64&gt;0,ROUND(F78*F66/2*F76*COS(PI()/180*F68),2)," ")</f>
        <v xml:space="preserve"> </v>
      </c>
      <c r="I79" s="15" t="str">
        <f>IF(I64&gt;0,ROUND(I78*I66/2*I76*COS(PI()/180*I68),2)," ")</f>
        <v xml:space="preserve"> </v>
      </c>
      <c r="L79" s="15" t="str">
        <f>IF(L64&gt;0,ROUND(L78*L66/2*L76*COS(PI()/180*L68),2)," ")</f>
        <v xml:space="preserve"> </v>
      </c>
      <c r="M79" s="6"/>
    </row>
    <row r="80" spans="2:13" ht="14.4" hidden="1" x14ac:dyDescent="0.3">
      <c r="B80" s="8" t="s">
        <v>80</v>
      </c>
      <c r="C80" s="15" t="str">
        <f>IF(C64&gt;0,ROUND(C78*C66/2*C76*SIN(PI()/180*C68),2)," ")</f>
        <v xml:space="preserve"> </v>
      </c>
      <c r="F80" s="15" t="str">
        <f>IF(F64&gt;0,ROUND(F78*F66/2*F76*SIN(PI()/180*F68),2)," ")</f>
        <v xml:space="preserve"> </v>
      </c>
      <c r="I80" s="15" t="str">
        <f>IF(I64&gt;0,ROUND(I78*I66/2*I76*SIN(PI()/180*I68),2)," ")</f>
        <v xml:space="preserve"> </v>
      </c>
      <c r="L80" s="15" t="str">
        <f>IF(L64&gt;0,ROUND(L78*L66/2*L76*SIN(PI()/180*L68),2)," ")</f>
        <v xml:space="preserve"> </v>
      </c>
      <c r="M80" s="6"/>
    </row>
    <row r="81" spans="2:13" ht="14.4" hidden="1" x14ac:dyDescent="0.3">
      <c r="B81" s="8" t="s">
        <v>11</v>
      </c>
      <c r="C81" s="15" t="str">
        <f>IF(C64&gt;0,(C77*C66^2)/(8*C67)," ")</f>
        <v xml:space="preserve"> </v>
      </c>
      <c r="D81" s="3" t="s">
        <v>1</v>
      </c>
      <c r="F81" s="15" t="str">
        <f>IF(F64&gt;0,(F77*F66^2)/(8*F67)," ")</f>
        <v xml:space="preserve"> </v>
      </c>
      <c r="G81" s="3" t="s">
        <v>1</v>
      </c>
      <c r="I81" s="15" t="str">
        <f>IF(I64&gt;0,(I77*I66^2)/(8*I67)," ")</f>
        <v xml:space="preserve"> </v>
      </c>
      <c r="J81" s="3" t="s">
        <v>1</v>
      </c>
      <c r="L81" s="15" t="str">
        <f>IF(L64&gt;0,(L77*L66^2)/(8*L67)," ")</f>
        <v xml:space="preserve"> </v>
      </c>
      <c r="M81" s="6" t="s">
        <v>1</v>
      </c>
    </row>
    <row r="82" spans="2:13" ht="14.4" hidden="1" x14ac:dyDescent="0.3">
      <c r="B82" s="8" t="s">
        <v>56</v>
      </c>
      <c r="C82" s="15" t="str">
        <f>IF(C64=0,"",ROUND(C81*COS(PI()/180*C68),2))</f>
        <v/>
      </c>
      <c r="D82" s="16"/>
      <c r="F82" s="15" t="str">
        <f>IF(F64=0,"",ROUND(F81*COS(PI()/180*F68),2))</f>
        <v/>
      </c>
      <c r="G82" s="16"/>
      <c r="I82" s="15" t="str">
        <f>IF(I64=0,"",ROUND(I81*COS(PI()/180*I68),2))</f>
        <v/>
      </c>
      <c r="J82" s="16"/>
      <c r="L82" s="15" t="str">
        <f>IF(L64=0,"",ROUND(L81*COS(PI()/180*L68),2))</f>
        <v/>
      </c>
      <c r="M82" s="19"/>
    </row>
    <row r="83" spans="2:13" ht="14.4" hidden="1" x14ac:dyDescent="0.3">
      <c r="B83" s="8" t="s">
        <v>57</v>
      </c>
      <c r="C83" s="15" t="str">
        <f>IF(C64=0,"",ROUND(C81*SIN(PI()/180*C68),2))</f>
        <v/>
      </c>
      <c r="F83" s="15" t="str">
        <f>IF(F64=0,"",ROUND(F81*SIN(PI()/180*F68),2))</f>
        <v/>
      </c>
      <c r="I83" s="15" t="str">
        <f>IF(I64=0,"",ROUND(I81*SIN(PI()/180*I68),2))</f>
        <v/>
      </c>
      <c r="L83" s="15" t="str">
        <f>IF(L64=0,"",ROUND(L81*SIN(PI()/180*L68),2))</f>
        <v/>
      </c>
      <c r="M83" s="6"/>
    </row>
    <row r="84" spans="2:13" ht="14.4" hidden="1" x14ac:dyDescent="0.3">
      <c r="B84" s="8" t="s">
        <v>60</v>
      </c>
      <c r="C84" s="15">
        <f>IF(C64&gt;0,SQRT(SUM(C82:L82)^2+SUM(C83:L83)^2)+SQRT(SUM(C79:L79)^2+SUM(C80:L80)^2),0)</f>
        <v>0</v>
      </c>
      <c r="D84" s="3" t="s">
        <v>1</v>
      </c>
      <c r="F84" s="16"/>
      <c r="I84" s="16"/>
      <c r="L84" s="16"/>
      <c r="M84" s="6"/>
    </row>
    <row r="85" spans="2:13" ht="31.5" customHeight="1" x14ac:dyDescent="0.3">
      <c r="B85" s="8"/>
      <c r="C85" s="60" t="s">
        <v>87</v>
      </c>
      <c r="D85" s="60"/>
      <c r="E85" s="27"/>
      <c r="F85" s="28" t="str">
        <f>IF(C64=0,"",C84*C70/(C69*0.9-0.6-0.1))</f>
        <v/>
      </c>
      <c r="G85" s="29" t="s">
        <v>1</v>
      </c>
      <c r="I85" s="16"/>
      <c r="L85" s="16"/>
      <c r="M85" s="6"/>
    </row>
    <row r="86" spans="2:13" ht="31.5" customHeight="1" x14ac:dyDescent="0.3">
      <c r="B86" s="11"/>
      <c r="C86" s="61"/>
      <c r="D86" s="61"/>
      <c r="E86" s="30"/>
      <c r="F86" s="31" t="str">
        <f>IF(C84=0,"",IF(SUM(C82:L82)=0,ROUNDUP(ATAN(SUM(C83:L83)/1)*180/PI(),0),IF(SUM(C82:L82)&lt;0,ATAN(SUM(C83:L83)/SUM(C82:L82))*180/PI()+180,ATAN(SUM(C83:L83)/SUM(C82:L82))*180/PI())))</f>
        <v/>
      </c>
      <c r="G86" s="32" t="s">
        <v>5</v>
      </c>
      <c r="H86" s="12"/>
      <c r="I86" s="12"/>
      <c r="J86" s="12"/>
      <c r="K86" s="12"/>
      <c r="L86" s="12"/>
      <c r="M86" s="13"/>
    </row>
    <row r="87" spans="2:13" ht="14.4" x14ac:dyDescent="0.3"/>
    <row r="88" spans="2:13" ht="19.8" x14ac:dyDescent="0.4">
      <c r="B88" s="56" t="s">
        <v>82</v>
      </c>
      <c r="C88" s="57"/>
      <c r="D88" s="57"/>
      <c r="E88" s="57"/>
      <c r="F88" s="57"/>
      <c r="G88" s="57"/>
      <c r="H88" s="57"/>
      <c r="I88" s="57"/>
      <c r="J88" s="57"/>
      <c r="K88" s="57"/>
      <c r="L88" s="57"/>
      <c r="M88" s="58"/>
    </row>
    <row r="89" spans="2:13" ht="14.4" x14ac:dyDescent="0.3">
      <c r="B89" s="4"/>
      <c r="C89" s="53" t="s">
        <v>20</v>
      </c>
      <c r="D89" s="53"/>
      <c r="F89" s="53" t="s">
        <v>21</v>
      </c>
      <c r="G89" s="53"/>
      <c r="I89" s="53" t="s">
        <v>22</v>
      </c>
      <c r="J89" s="53"/>
      <c r="L89" s="53" t="s">
        <v>39</v>
      </c>
      <c r="M89" s="54"/>
    </row>
    <row r="90" spans="2:13" ht="14.4" x14ac:dyDescent="0.3">
      <c r="B90" s="7" t="s">
        <v>83</v>
      </c>
      <c r="C90" s="50"/>
      <c r="D90" s="50"/>
      <c r="F90" s="50"/>
      <c r="G90" s="50"/>
      <c r="I90" s="50"/>
      <c r="J90" s="50"/>
      <c r="L90" s="50"/>
      <c r="M90" s="55"/>
    </row>
    <row r="91" spans="2:13" ht="14.4" x14ac:dyDescent="0.3">
      <c r="B91" s="8" t="s">
        <v>3</v>
      </c>
      <c r="C91" s="22"/>
      <c r="D91" s="3" t="s">
        <v>2</v>
      </c>
      <c r="F91" s="22"/>
      <c r="G91" s="3" t="s">
        <v>2</v>
      </c>
      <c r="I91" s="22"/>
      <c r="J91" s="3" t="s">
        <v>2</v>
      </c>
      <c r="L91" s="22"/>
      <c r="M91" s="6" t="s">
        <v>2</v>
      </c>
    </row>
    <row r="92" spans="2:13" ht="14.4" x14ac:dyDescent="0.3">
      <c r="B92" s="8" t="s">
        <v>4</v>
      </c>
      <c r="C92" s="21"/>
      <c r="D92" s="3" t="s">
        <v>2</v>
      </c>
      <c r="F92" s="21"/>
      <c r="G92" s="3" t="s">
        <v>2</v>
      </c>
      <c r="I92" s="21"/>
      <c r="J92" s="3" t="s">
        <v>2</v>
      </c>
      <c r="L92" s="21"/>
      <c r="M92" s="6" t="s">
        <v>2</v>
      </c>
    </row>
    <row r="93" spans="2:13" ht="14.4" x14ac:dyDescent="0.3">
      <c r="B93" s="8" t="s">
        <v>59</v>
      </c>
      <c r="C93" s="21"/>
      <c r="D93" s="9" t="s">
        <v>5</v>
      </c>
      <c r="F93" s="21"/>
      <c r="G93" s="9" t="s">
        <v>5</v>
      </c>
      <c r="I93" s="21"/>
      <c r="J93" s="9" t="s">
        <v>5</v>
      </c>
      <c r="L93" s="21"/>
      <c r="M93" s="10" t="s">
        <v>5</v>
      </c>
    </row>
    <row r="94" spans="2:13" ht="14.4" x14ac:dyDescent="0.3">
      <c r="B94" s="8" t="s">
        <v>10</v>
      </c>
      <c r="C94" s="21"/>
      <c r="D94" s="3" t="s">
        <v>2</v>
      </c>
      <c r="M94" s="6"/>
    </row>
    <row r="95" spans="2:13" ht="14.4" x14ac:dyDescent="0.3">
      <c r="B95" s="8" t="s">
        <v>9</v>
      </c>
      <c r="C95" s="21"/>
      <c r="M95" s="6"/>
    </row>
    <row r="96" spans="2:13" ht="14.4" hidden="1" x14ac:dyDescent="0.3">
      <c r="B96" s="8" t="s">
        <v>54</v>
      </c>
      <c r="C96" s="3" t="str">
        <f>IF(C90=0,"",0.15)</f>
        <v/>
      </c>
      <c r="D96" s="3" t="s">
        <v>0</v>
      </c>
      <c r="F96" s="3" t="str">
        <f>IF(F90=0,"",0.15)</f>
        <v/>
      </c>
      <c r="G96" s="3" t="s">
        <v>0</v>
      </c>
      <c r="I96" s="3" t="str">
        <f>IF(I90=0,"",0.15)</f>
        <v/>
      </c>
      <c r="J96" s="3" t="s">
        <v>0</v>
      </c>
      <c r="L96" s="3" t="str">
        <f>IF(L90=0,"",0.15)</f>
        <v/>
      </c>
      <c r="M96" s="6" t="s">
        <v>0</v>
      </c>
    </row>
    <row r="97" spans="2:13" ht="14.4" hidden="1" x14ac:dyDescent="0.3">
      <c r="B97" s="8" t="s">
        <v>6</v>
      </c>
      <c r="C97" s="3" t="str">
        <f>IF(C90=0,"",0.0115)</f>
        <v/>
      </c>
      <c r="D97" s="3" t="s">
        <v>2</v>
      </c>
      <c r="F97" s="3" t="str">
        <f>IF(F90=0,"",0.0115)</f>
        <v/>
      </c>
      <c r="G97" s="3" t="s">
        <v>2</v>
      </c>
      <c r="I97" s="3" t="str">
        <f>IF(I90=0,"",0.0115)</f>
        <v/>
      </c>
      <c r="J97" s="3" t="s">
        <v>2</v>
      </c>
      <c r="L97" s="3" t="str">
        <f>IF(L90=0,"",0.0115)</f>
        <v/>
      </c>
      <c r="M97" s="6" t="s">
        <v>2</v>
      </c>
    </row>
    <row r="98" spans="2:13" ht="14.4" hidden="1" x14ac:dyDescent="0.3">
      <c r="B98" s="7" t="s">
        <v>71</v>
      </c>
      <c r="C98" s="3" t="str">
        <f>IF(C90=0,"",0.407)</f>
        <v/>
      </c>
      <c r="D98" s="3" t="s">
        <v>0</v>
      </c>
      <c r="F98" s="3" t="str">
        <f>IF(F90=0,"",0.407)</f>
        <v/>
      </c>
      <c r="G98" s="3" t="s">
        <v>0</v>
      </c>
      <c r="I98" s="3" t="str">
        <f>IF(I90=0,"",0.407)</f>
        <v/>
      </c>
      <c r="J98" s="3" t="s">
        <v>0</v>
      </c>
      <c r="L98" s="3" t="str">
        <f>IF(L90=0,"",0.407)</f>
        <v/>
      </c>
      <c r="M98" s="6" t="s">
        <v>0</v>
      </c>
    </row>
    <row r="99" spans="2:13" ht="14.4" hidden="1" x14ac:dyDescent="0.3">
      <c r="B99" s="8" t="s">
        <v>72</v>
      </c>
      <c r="C99" s="3" t="str">
        <f>IF(C90=0,"",0.0095)</f>
        <v/>
      </c>
      <c r="D99" s="3" t="s">
        <v>2</v>
      </c>
      <c r="F99" s="3" t="str">
        <f>IF(F90=0,"",0.0095)</f>
        <v/>
      </c>
      <c r="G99" s="3" t="s">
        <v>2</v>
      </c>
      <c r="I99" s="3" t="str">
        <f>IF(I90=0,"",0.0095)</f>
        <v/>
      </c>
      <c r="J99" s="3" t="s">
        <v>2</v>
      </c>
      <c r="L99" s="3" t="str">
        <f>IF(L90=0,"",0.0095)</f>
        <v/>
      </c>
      <c r="M99" s="6" t="s">
        <v>2</v>
      </c>
    </row>
    <row r="100" spans="2:13" ht="14.4" hidden="1" x14ac:dyDescent="0.3">
      <c r="B100" s="8" t="s">
        <v>19</v>
      </c>
      <c r="C100" s="14" t="str">
        <f>IF(C90=0,"",IF(C90&lt;Plan1!$J$36,Plan1!$L$35*C97+C99,IF(C90&lt;Plan1!$J$37,Plan1!$L$36*C97+C99,IF(C90&lt;Plan1!$J$38,Plan1!$L$37*C97+C99,IF(C90&lt;Plan1!$J$39,Plan1!$L$38*C97+C99,IF(C90&lt;Plan1!$J$40,Plan1!$L$39*C97+C99,Plan1!$L$40*C97+C99))))))</f>
        <v/>
      </c>
      <c r="D100" s="3" t="s">
        <v>2</v>
      </c>
      <c r="F100" s="14" t="str">
        <f>IF(F90=0,"",IF(F90&lt;Plan1!$J$36,Plan1!$L$35*F97+F99,IF(F90&lt;Plan1!$J$37,Plan1!$L$36*F97+F99,IF(F90&lt;Plan1!$J$38,Plan1!$L$37*F97+F99,IF(F90&lt;Plan1!$J$39,Plan1!$L$38*F97+F99,IF(F90&lt;Plan1!$J$40,Plan1!$L$39*F97+F99,Plan1!$L$40*F97+F99))))))</f>
        <v/>
      </c>
      <c r="G100" s="3" t="s">
        <v>2</v>
      </c>
      <c r="I100" s="14" t="str">
        <f>IF(I90=0,"",IF(I90&lt;Plan1!$J$36,Plan1!$L$35*I97+I99,IF(I90&lt;Plan1!$J$37,Plan1!$L$36*I97+I99,IF(I90&lt;Plan1!$J$38,Plan1!$L$37*I97+I99,IF(I90&lt;Plan1!$J$39,Plan1!$L$38*I97+I99,IF(I90&lt;Plan1!$J$40,Plan1!$L$39*I97+I99,Plan1!$L$40*I97+I99))))))</f>
        <v/>
      </c>
      <c r="J100" s="3" t="s">
        <v>2</v>
      </c>
      <c r="L100" s="14" t="str">
        <f>IF(L90=0,"",IF(L90&lt;Plan1!$J$36,Plan1!$L$35*L97+L99,IF(L90&lt;Plan1!$J$37,Plan1!$L$36*L97+L99,IF(L90&lt;Plan1!$J$38,Plan1!$L$37*L97+L99,IF(L90&lt;Plan1!$J$39,Plan1!$L$38*L97+L99,IF(L90&lt;Plan1!$J$40,Plan1!$L$39*L97+L99,Plan1!$L$40*L97+L99))))))</f>
        <v/>
      </c>
      <c r="M100" s="6" t="s">
        <v>2</v>
      </c>
    </row>
    <row r="101" spans="2:13" ht="14.4" hidden="1" x14ac:dyDescent="0.3">
      <c r="B101" s="8" t="s">
        <v>18</v>
      </c>
      <c r="C101" s="15" t="str">
        <f>IF(C90=0,"",C90*C96+C98)</f>
        <v/>
      </c>
      <c r="D101" s="3" t="s">
        <v>0</v>
      </c>
      <c r="F101" s="15" t="str">
        <f>IF(F90=0,"",F90*F96+F98)</f>
        <v/>
      </c>
      <c r="G101" s="3" t="s">
        <v>0</v>
      </c>
      <c r="I101" s="15" t="str">
        <f>IF(I90=0,"",I90*I96+I98)</f>
        <v/>
      </c>
      <c r="J101" s="3" t="s">
        <v>0</v>
      </c>
      <c r="L101" s="15" t="str">
        <f>IF(L90=0,"",L90*L96+L98)</f>
        <v/>
      </c>
      <c r="M101" s="6" t="s">
        <v>0</v>
      </c>
    </row>
    <row r="102" spans="2:13" ht="14.4" hidden="1" x14ac:dyDescent="0.3">
      <c r="B102" s="8" t="s">
        <v>7</v>
      </c>
      <c r="C102" s="15">
        <f>0.00471*60^2</f>
        <v>16.956</v>
      </c>
      <c r="D102" s="3" t="s">
        <v>8</v>
      </c>
      <c r="F102" s="15">
        <f>0.00471*60^2</f>
        <v>16.956</v>
      </c>
      <c r="G102" s="3" t="s">
        <v>8</v>
      </c>
      <c r="I102" s="15">
        <f>0.00471*60^2</f>
        <v>16.956</v>
      </c>
      <c r="J102" s="3" t="s">
        <v>8</v>
      </c>
      <c r="L102" s="15">
        <f>0.00471*60^2</f>
        <v>16.956</v>
      </c>
      <c r="M102" s="6" t="s">
        <v>8</v>
      </c>
    </row>
    <row r="103" spans="2:13" ht="14.4" hidden="1" x14ac:dyDescent="0.3">
      <c r="B103" s="8" t="s">
        <v>79</v>
      </c>
      <c r="C103" s="15" t="str">
        <f>IF(C90&gt;0,ROUND(C102*C91/2*C100*COS(PI()/180*C93),2)," ")</f>
        <v xml:space="preserve"> </v>
      </c>
      <c r="F103" s="15" t="str">
        <f>IF(F90&gt;0,ROUND(F102*F91/2*F100*COS(PI()/180*F93),2)," ")</f>
        <v xml:space="preserve"> </v>
      </c>
      <c r="I103" s="15" t="str">
        <f>IF(I90&gt;0,ROUND(I102*I91/2*I100*COS(PI()/180*I93),2)," ")</f>
        <v xml:space="preserve"> </v>
      </c>
      <c r="L103" s="15" t="str">
        <f>IF(L90&gt;0,ROUND(L102*L91/2*L100*COS(PI()/180*L93),2)," ")</f>
        <v xml:space="preserve"> </v>
      </c>
      <c r="M103" s="6"/>
    </row>
    <row r="104" spans="2:13" ht="14.4" hidden="1" x14ac:dyDescent="0.3">
      <c r="B104" s="8" t="s">
        <v>80</v>
      </c>
      <c r="C104" s="15" t="str">
        <f>IF(C90&gt;0,ROUND(C102*C91/2*C100*SIN(PI()/180*C93),2)," ")</f>
        <v xml:space="preserve"> </v>
      </c>
      <c r="F104" s="15" t="str">
        <f>IF(F90&gt;0,ROUND(F102*F91/2*F100*SIN(PI()/180*F93),2)," ")</f>
        <v xml:space="preserve"> </v>
      </c>
      <c r="I104" s="15" t="str">
        <f>IF(I90&gt;0,ROUND(I102*I91/2*I100*SIN(PI()/180*I93),2)," ")</f>
        <v xml:space="preserve"> </v>
      </c>
      <c r="L104" s="15" t="str">
        <f>IF(L90&gt;0,ROUND(L102*L91/2*L100*SIN(PI()/180*L93),2)," ")</f>
        <v xml:space="preserve"> </v>
      </c>
      <c r="M104" s="6"/>
    </row>
    <row r="105" spans="2:13" ht="14.4" hidden="1" x14ac:dyDescent="0.3">
      <c r="B105" s="8" t="s">
        <v>11</v>
      </c>
      <c r="C105" s="15" t="str">
        <f>IF(C90&gt;0,(C101*C91^2)/(8*C92)," ")</f>
        <v xml:space="preserve"> </v>
      </c>
      <c r="D105" s="3" t="s">
        <v>1</v>
      </c>
      <c r="F105" s="15" t="str">
        <f>IF(F90&gt;0,(F101*F91^2)/(8*F92)," ")</f>
        <v xml:space="preserve"> </v>
      </c>
      <c r="G105" s="3" t="s">
        <v>1</v>
      </c>
      <c r="I105" s="15" t="str">
        <f>IF(I90&gt;0,(I101*I91^2)/(8*I92)," ")</f>
        <v xml:space="preserve"> </v>
      </c>
      <c r="J105" s="3" t="s">
        <v>1</v>
      </c>
      <c r="L105" s="15" t="str">
        <f>IF(L90&gt;0,(L101*L91^2)/(8*L92)," ")</f>
        <v xml:space="preserve"> </v>
      </c>
      <c r="M105" s="6" t="s">
        <v>1</v>
      </c>
    </row>
    <row r="106" spans="2:13" ht="14.4" hidden="1" x14ac:dyDescent="0.3">
      <c r="B106" s="8" t="s">
        <v>56</v>
      </c>
      <c r="C106" s="15" t="str">
        <f>IF(C90=0,"",ROUND(C105*COS(PI()/180*C93),2))</f>
        <v/>
      </c>
      <c r="D106" s="16"/>
      <c r="F106" s="15" t="str">
        <f>IF(F90=0,"",ROUND(F105*COS(PI()/180*F93),2))</f>
        <v/>
      </c>
      <c r="G106" s="16"/>
      <c r="I106" s="15" t="str">
        <f>IF(I90=0,"",ROUND(I105*COS(PI()/180*I93),2))</f>
        <v/>
      </c>
      <c r="J106" s="16"/>
      <c r="L106" s="15" t="str">
        <f>IF(L90=0,"",ROUND(L105*COS(PI()/180*L93),2))</f>
        <v/>
      </c>
      <c r="M106" s="19"/>
    </row>
    <row r="107" spans="2:13" ht="14.4" hidden="1" x14ac:dyDescent="0.3">
      <c r="B107" s="8" t="s">
        <v>57</v>
      </c>
      <c r="C107" s="15" t="str">
        <f>IF(C90=0,"",ROUND(C105*SIN(PI()/180*C93),2))</f>
        <v/>
      </c>
      <c r="F107" s="15" t="str">
        <f>IF(F90=0,"",ROUND(F105*SIN(PI()/180*F93),2))</f>
        <v/>
      </c>
      <c r="I107" s="15" t="str">
        <f>IF(I90=0,"",ROUND(I105*SIN(PI()/180*I93),2))</f>
        <v/>
      </c>
      <c r="L107" s="15" t="str">
        <f>IF(L90=0,"",ROUND(L105*SIN(PI()/180*L93),2))</f>
        <v/>
      </c>
      <c r="M107" s="6"/>
    </row>
    <row r="108" spans="2:13" ht="14.4" hidden="1" x14ac:dyDescent="0.3">
      <c r="B108" s="8" t="s">
        <v>60</v>
      </c>
      <c r="C108" s="15">
        <f>IF(C90&gt;0,SQRT(SUM(C106:L106)^2+SUM(C107:L107)^2)+SQRT(SUM(C103:L103)^2+SUM(C104:L104)^2),0)</f>
        <v>0</v>
      </c>
      <c r="D108" s="3" t="s">
        <v>1</v>
      </c>
      <c r="F108" s="16"/>
      <c r="I108" s="16"/>
      <c r="L108" s="16"/>
      <c r="M108" s="6"/>
    </row>
    <row r="109" spans="2:13" ht="31.5" customHeight="1" x14ac:dyDescent="0.3">
      <c r="B109" s="8"/>
      <c r="C109" s="60" t="s">
        <v>88</v>
      </c>
      <c r="D109" s="60"/>
      <c r="E109" s="27"/>
      <c r="F109" s="28" t="str">
        <f>IF(C90=0,"",C108*C95/(C94*0.9-0.6-0.1))</f>
        <v/>
      </c>
      <c r="G109" s="29" t="s">
        <v>1</v>
      </c>
      <c r="H109" s="27"/>
      <c r="I109" s="16"/>
      <c r="L109" s="16" t="s">
        <v>89</v>
      </c>
      <c r="M109" s="6"/>
    </row>
    <row r="110" spans="2:13" ht="31.5" customHeight="1" x14ac:dyDescent="0.3">
      <c r="B110" s="25"/>
      <c r="C110" s="61"/>
      <c r="D110" s="61"/>
      <c r="E110" s="30"/>
      <c r="F110" s="31" t="str">
        <f>IF(C108=0,"",IF(SUM(C106:L106)=0,ROUNDUP(ATAN(SUM(C107:L107)/1)*180/PI(),0),IF(SUM(C106:L106)&lt;0,ATAN(SUM(C107:L107)/SUM(C106:L106))*180/PI()+180,ATAN(SUM(C107:L107)/SUM(C106:L106))*180/PI())))</f>
        <v/>
      </c>
      <c r="G110" s="32" t="s">
        <v>5</v>
      </c>
      <c r="H110" s="30"/>
      <c r="I110" s="12"/>
      <c r="J110" s="12"/>
      <c r="K110" s="12"/>
      <c r="L110" s="62" t="s">
        <v>97</v>
      </c>
      <c r="M110" s="63"/>
    </row>
    <row r="111" spans="2:13" ht="14.4" x14ac:dyDescent="0.3"/>
    <row r="112" spans="2:13" ht="19.8" x14ac:dyDescent="0.4">
      <c r="B112" s="56" t="s">
        <v>90</v>
      </c>
      <c r="C112" s="57"/>
      <c r="D112" s="57"/>
      <c r="E112" s="57"/>
      <c r="F112" s="57"/>
      <c r="G112" s="57"/>
      <c r="H112" s="57"/>
      <c r="I112" s="57"/>
      <c r="J112" s="57"/>
      <c r="K112" s="57"/>
      <c r="L112" s="57"/>
      <c r="M112" s="58"/>
    </row>
    <row r="113" spans="2:13" ht="14.4" x14ac:dyDescent="0.3">
      <c r="B113" s="4"/>
      <c r="C113" s="53" t="s">
        <v>20</v>
      </c>
      <c r="D113" s="53"/>
      <c r="F113" s="53" t="s">
        <v>21</v>
      </c>
      <c r="G113" s="53"/>
      <c r="I113" s="53" t="s">
        <v>22</v>
      </c>
      <c r="J113" s="53"/>
      <c r="L113" s="53" t="s">
        <v>39</v>
      </c>
      <c r="M113" s="54"/>
    </row>
    <row r="114" spans="2:13" ht="14.4" x14ac:dyDescent="0.3">
      <c r="B114" s="7" t="s">
        <v>53</v>
      </c>
      <c r="C114" s="50"/>
      <c r="D114" s="50"/>
      <c r="E114" s="5"/>
      <c r="F114" s="50"/>
      <c r="G114" s="50"/>
      <c r="H114" s="5"/>
      <c r="I114" s="50"/>
      <c r="J114" s="50"/>
      <c r="K114" s="5"/>
      <c r="L114" s="50"/>
      <c r="M114" s="55"/>
    </row>
    <row r="115" spans="2:13" ht="14.4" x14ac:dyDescent="0.3">
      <c r="B115" s="7" t="s">
        <v>55</v>
      </c>
      <c r="C115" s="22"/>
      <c r="F115" s="22"/>
      <c r="I115" s="22"/>
      <c r="L115" s="22"/>
      <c r="M115" s="6"/>
    </row>
    <row r="116" spans="2:13" ht="14.4" x14ac:dyDescent="0.3">
      <c r="B116" s="8" t="s">
        <v>3</v>
      </c>
      <c r="C116" s="21"/>
      <c r="D116" s="3" t="s">
        <v>2</v>
      </c>
      <c r="F116" s="21"/>
      <c r="G116" s="3" t="s">
        <v>2</v>
      </c>
      <c r="I116" s="21"/>
      <c r="J116" s="3" t="s">
        <v>2</v>
      </c>
      <c r="L116" s="21"/>
      <c r="M116" s="6" t="s">
        <v>2</v>
      </c>
    </row>
    <row r="117" spans="2:13" ht="14.4" x14ac:dyDescent="0.3">
      <c r="B117" s="8" t="s">
        <v>4</v>
      </c>
      <c r="C117" s="21"/>
      <c r="D117" s="3" t="s">
        <v>2</v>
      </c>
      <c r="F117" s="21"/>
      <c r="G117" s="3" t="s">
        <v>2</v>
      </c>
      <c r="I117" s="21"/>
      <c r="J117" s="3" t="s">
        <v>2</v>
      </c>
      <c r="L117" s="21"/>
      <c r="M117" s="6" t="s">
        <v>2</v>
      </c>
    </row>
    <row r="118" spans="2:13" ht="14.4" x14ac:dyDescent="0.3">
      <c r="B118" s="8" t="s">
        <v>59</v>
      </c>
      <c r="C118" s="21"/>
      <c r="D118" s="9" t="s">
        <v>5</v>
      </c>
      <c r="F118" s="21"/>
      <c r="G118" s="9" t="s">
        <v>5</v>
      </c>
      <c r="I118" s="21"/>
      <c r="J118" s="9" t="s">
        <v>5</v>
      </c>
      <c r="L118" s="21"/>
      <c r="M118" s="10" t="s">
        <v>5</v>
      </c>
    </row>
    <row r="119" spans="2:13" ht="14.4" x14ac:dyDescent="0.3">
      <c r="B119" s="8" t="s">
        <v>10</v>
      </c>
      <c r="C119" s="21"/>
      <c r="D119" s="3" t="s">
        <v>2</v>
      </c>
      <c r="M119" s="6"/>
    </row>
    <row r="120" spans="2:13" ht="14.4" x14ac:dyDescent="0.3">
      <c r="B120" s="8" t="s">
        <v>9</v>
      </c>
      <c r="C120" s="21"/>
      <c r="D120" s="3" t="s">
        <v>2</v>
      </c>
      <c r="M120" s="6"/>
    </row>
    <row r="121" spans="2:13" ht="14.4" hidden="1" x14ac:dyDescent="0.3">
      <c r="B121" s="8" t="s">
        <v>54</v>
      </c>
      <c r="C121" s="3" t="str">
        <f>IF(C114&gt;0,VLOOKUP(C114,Plan1!$C$3:$E$34,3,0)," ")</f>
        <v xml:space="preserve"> </v>
      </c>
      <c r="D121" s="3" t="s">
        <v>0</v>
      </c>
      <c r="F121" s="3" t="str">
        <f>IF(F114&gt;0,VLOOKUP(F114,Plan1!$C$3:$E$34,3,0)," ")</f>
        <v xml:space="preserve"> </v>
      </c>
      <c r="G121" s="3" t="s">
        <v>0</v>
      </c>
      <c r="I121" s="3" t="str">
        <f>IF(I114&gt;0,VLOOKUP(I114,Plan1!$C$3:$E$34,3,0)," ")</f>
        <v xml:space="preserve"> </v>
      </c>
      <c r="J121" s="3" t="s">
        <v>0</v>
      </c>
      <c r="L121" s="3" t="str">
        <f>IF(L114&gt;0,VLOOKUP(L114,Plan1!$C$3:$E$34,3,0)," ")</f>
        <v xml:space="preserve"> </v>
      </c>
      <c r="M121" s="6" t="s">
        <v>0</v>
      </c>
    </row>
    <row r="122" spans="2:13" ht="14.4" hidden="1" x14ac:dyDescent="0.3">
      <c r="B122" s="8" t="s">
        <v>6</v>
      </c>
      <c r="C122" s="3" t="str">
        <f>IF(C114&gt;0,VLOOKUP(C114,Plan1!$C$3:$E$34,2,0)," ")</f>
        <v xml:space="preserve"> </v>
      </c>
      <c r="D122" s="3" t="s">
        <v>2</v>
      </c>
      <c r="F122" s="3" t="str">
        <f>IF(F114&gt;0,VLOOKUP(F114,Plan1!$C$3:$E$34,2,0)," ")</f>
        <v xml:space="preserve"> </v>
      </c>
      <c r="G122" s="3" t="s">
        <v>2</v>
      </c>
      <c r="I122" s="3" t="str">
        <f>IF(I114&gt;0,VLOOKUP(I114,Plan1!$C$3:$E$34,2,0)," ")</f>
        <v xml:space="preserve"> </v>
      </c>
      <c r="J122" s="3" t="s">
        <v>2</v>
      </c>
      <c r="L122" s="3" t="str">
        <f>IF(L114&gt;0,VLOOKUP(L114,Plan1!$C$3:$E$34,2,0)," ")</f>
        <v xml:space="preserve"> </v>
      </c>
      <c r="M122" s="6" t="s">
        <v>2</v>
      </c>
    </row>
    <row r="123" spans="2:13" ht="14.4" hidden="1" x14ac:dyDescent="0.3">
      <c r="B123" s="8" t="s">
        <v>19</v>
      </c>
      <c r="C123" s="14" t="str">
        <f>IF(C114&gt;0,C115*C122," ")</f>
        <v xml:space="preserve"> </v>
      </c>
      <c r="D123" s="3" t="s">
        <v>2</v>
      </c>
      <c r="F123" s="14" t="str">
        <f>IF(F114&gt;0,F115*F122," ")</f>
        <v xml:space="preserve"> </v>
      </c>
      <c r="G123" s="3" t="s">
        <v>2</v>
      </c>
      <c r="I123" s="14" t="str">
        <f>IF(I114&gt;0,I115*I122," ")</f>
        <v xml:space="preserve"> </v>
      </c>
      <c r="J123" s="3" t="s">
        <v>2</v>
      </c>
      <c r="L123" s="14" t="str">
        <f>IF(L114&gt;0,L115*L122," ")</f>
        <v xml:space="preserve"> </v>
      </c>
      <c r="M123" s="6" t="s">
        <v>2</v>
      </c>
    </row>
    <row r="124" spans="2:13" ht="14.4" hidden="1" x14ac:dyDescent="0.3">
      <c r="B124" s="8" t="s">
        <v>18</v>
      </c>
      <c r="C124" s="15" t="str">
        <f>IF(C114&gt;0,C121*C115," ")</f>
        <v xml:space="preserve"> </v>
      </c>
      <c r="D124" s="3" t="s">
        <v>0</v>
      </c>
      <c r="F124" s="15" t="str">
        <f>IF(F114&gt;0,F121*F115," ")</f>
        <v xml:space="preserve"> </v>
      </c>
      <c r="G124" s="3" t="s">
        <v>0</v>
      </c>
      <c r="I124" s="15" t="str">
        <f>IF(I114&gt;0,I121*I115," ")</f>
        <v xml:space="preserve"> </v>
      </c>
      <c r="J124" s="3" t="s">
        <v>0</v>
      </c>
      <c r="L124" s="15" t="str">
        <f>IF(L114&gt;0,L121*L115," ")</f>
        <v xml:space="preserve"> </v>
      </c>
      <c r="M124" s="6" t="s">
        <v>0</v>
      </c>
    </row>
    <row r="125" spans="2:13" ht="14.4" hidden="1" x14ac:dyDescent="0.3">
      <c r="B125" s="8" t="s">
        <v>7</v>
      </c>
      <c r="C125" s="15">
        <f>0.00471*60^2</f>
        <v>16.956</v>
      </c>
      <c r="D125" s="3" t="s">
        <v>8</v>
      </c>
      <c r="F125" s="15">
        <f>0.00471*60^2</f>
        <v>16.956</v>
      </c>
      <c r="G125" s="3" t="s">
        <v>8</v>
      </c>
      <c r="I125" s="15">
        <f>0.00471*60^2</f>
        <v>16.956</v>
      </c>
      <c r="J125" s="3" t="s">
        <v>8</v>
      </c>
      <c r="L125" s="15">
        <f>0.00471*60^2</f>
        <v>16.956</v>
      </c>
      <c r="M125" s="6" t="s">
        <v>8</v>
      </c>
    </row>
    <row r="126" spans="2:13" ht="14.4" hidden="1" x14ac:dyDescent="0.3">
      <c r="B126" s="8" t="s">
        <v>79</v>
      </c>
      <c r="C126" s="15" t="str">
        <f>IF(C114&gt;0,ROUND(C125*C116/2*C123*COS(PI()/180*C118),2)," ")</f>
        <v xml:space="preserve"> </v>
      </c>
      <c r="F126" s="15" t="str">
        <f>IF(F114&gt;0,ROUND(F125*F116/2*F123*COS(PI()/180*F118),2)," ")</f>
        <v xml:space="preserve"> </v>
      </c>
      <c r="I126" s="15" t="str">
        <f>IF(I114&gt;0,ROUND(I125*I116/2*I123*COS(PI()/180*I118),2)," ")</f>
        <v xml:space="preserve"> </v>
      </c>
      <c r="L126" s="15" t="str">
        <f>IF(L114&gt;0,ROUND(L125*L116/2*L123*COS(PI()/180*L118),2)," ")</f>
        <v xml:space="preserve"> </v>
      </c>
      <c r="M126" s="6"/>
    </row>
    <row r="127" spans="2:13" ht="14.4" hidden="1" x14ac:dyDescent="0.3">
      <c r="B127" s="8" t="s">
        <v>80</v>
      </c>
      <c r="C127" s="15" t="str">
        <f>IF(C114&gt;0,ROUND(C125*C116/2*C123*SIN(PI()/180*C118),2)," ")</f>
        <v xml:space="preserve"> </v>
      </c>
      <c r="F127" s="15" t="str">
        <f>IF(F114&gt;0,ROUND(F125*F116/2*F123*SIN(PI()/180*F118),2)," ")</f>
        <v xml:space="preserve"> </v>
      </c>
      <c r="I127" s="15" t="str">
        <f>IF(I114&gt;0,ROUND(I125*I116/2*I123*SIN(PI()/180*I118),2)," ")</f>
        <v xml:space="preserve"> </v>
      </c>
      <c r="L127" s="15" t="str">
        <f>IF(L114&gt;0,ROUND(L125*L116/2*L123*SIN(PI()/180*L118),2)," ")</f>
        <v xml:space="preserve"> </v>
      </c>
      <c r="M127" s="6"/>
    </row>
    <row r="128" spans="2:13" ht="14.4" hidden="1" x14ac:dyDescent="0.3">
      <c r="B128" s="8" t="s">
        <v>11</v>
      </c>
      <c r="C128" s="15" t="str">
        <f>IF(C114&gt;0,(C124*C116^2)/(8*C117)," ")</f>
        <v xml:space="preserve"> </v>
      </c>
      <c r="F128" s="15" t="str">
        <f>IF(F114&gt;0,(F124*F116^2)/(8*F117)," ")</f>
        <v xml:space="preserve"> </v>
      </c>
      <c r="I128" s="15" t="str">
        <f>IF(I114&gt;0,(I124*I116^2)/(8*I117)," ")</f>
        <v xml:space="preserve"> </v>
      </c>
      <c r="L128" s="15" t="str">
        <f>IF(L114&gt;0,(L124*L116^2)/(8*L117)," ")</f>
        <v xml:space="preserve"> </v>
      </c>
      <c r="M128" s="6"/>
    </row>
    <row r="129" spans="2:15" ht="14.4" hidden="1" x14ac:dyDescent="0.3">
      <c r="B129" s="8" t="s">
        <v>56</v>
      </c>
      <c r="C129" s="15" t="str">
        <f>IF(C114=0,"",ROUND(C128*COS(PI()/180*C118),2))</f>
        <v/>
      </c>
      <c r="F129" s="15" t="str">
        <f>IF(F114=0,"",ROUND(F128*COS(PI()/180*F118),2))</f>
        <v/>
      </c>
      <c r="I129" s="15" t="str">
        <f>IF(I114=0,"",ROUND(I128*COS(PI()/180*I118),2))</f>
        <v/>
      </c>
      <c r="L129" s="15" t="str">
        <f>IF(L114=0,"",ROUND(L128*COS(PI()/180*L118),2))</f>
        <v/>
      </c>
      <c r="M129" s="6"/>
    </row>
    <row r="130" spans="2:15" ht="14.4" hidden="1" x14ac:dyDescent="0.3">
      <c r="B130" s="8" t="s">
        <v>57</v>
      </c>
      <c r="C130" s="15" t="str">
        <f>IF(C114=0,"",ROUND(C128*SIN(PI()/180*C118),2))</f>
        <v/>
      </c>
      <c r="F130" s="15" t="str">
        <f>IF(F114=0,"",ROUND(F128*SIN(PI()/180*F118),2))</f>
        <v/>
      </c>
      <c r="I130" s="15" t="str">
        <f>IF(I114=0,"",ROUND(I128*SIN(PI()/180*I118),2))</f>
        <v/>
      </c>
      <c r="L130" s="15" t="str">
        <f>IF(L114=0,"",ROUND(L128*SIN(PI()/180*L118),2))</f>
        <v/>
      </c>
      <c r="M130" s="6"/>
    </row>
    <row r="131" spans="2:15" ht="14.4" hidden="1" x14ac:dyDescent="0.3">
      <c r="B131" s="8" t="s">
        <v>60</v>
      </c>
      <c r="C131" s="15">
        <f>IF(C114&gt;0,SQRT(SUM(C129:L129)^2+SUM(C130:L130)^2)+SQRT(SUM(C126:L126)^2+SUM(C127:L127)^2),0)</f>
        <v>0</v>
      </c>
      <c r="D131" s="3" t="s">
        <v>1</v>
      </c>
      <c r="F131" s="16"/>
      <c r="I131" s="16"/>
      <c r="L131" s="16"/>
      <c r="M131" s="6"/>
    </row>
    <row r="132" spans="2:15" ht="31.5" customHeight="1" x14ac:dyDescent="0.3">
      <c r="B132" s="8"/>
      <c r="C132" s="60" t="s">
        <v>91</v>
      </c>
      <c r="D132" s="60"/>
      <c r="E132" s="27"/>
      <c r="F132" s="28" t="str">
        <f>IF(C114=0,"",C131*C120/(C119*0.9-0.6-0.1))</f>
        <v/>
      </c>
      <c r="G132" s="29" t="s">
        <v>1</v>
      </c>
      <c r="I132" s="16"/>
      <c r="L132" s="16"/>
      <c r="M132" s="6"/>
    </row>
    <row r="133" spans="2:15" ht="31.5" customHeight="1" x14ac:dyDescent="0.3">
      <c r="B133" s="11"/>
      <c r="C133" s="61"/>
      <c r="D133" s="61"/>
      <c r="E133" s="30"/>
      <c r="F133" s="31" t="str">
        <f>IF(C131=0,"",IF(SUM(C129:L129)=0,ROUNDUP(ATAN(SUM(C130:L130)/1)*180/PI(),0),IF(SUM(C129:L129)&lt;0,ATAN(SUM(C130:L130)/SUM(C129:L129))*180/PI()+180,ATAN(SUM(C130:L130)/SUM(C129:L129))*180/PI())))</f>
        <v/>
      </c>
      <c r="G133" s="32" t="s">
        <v>5</v>
      </c>
      <c r="H133" s="12"/>
      <c r="I133" s="12"/>
      <c r="J133" s="12"/>
      <c r="K133" s="12"/>
      <c r="L133" s="12"/>
      <c r="M133" s="13"/>
    </row>
    <row r="134" spans="2:15" ht="21" hidden="1" x14ac:dyDescent="0.4">
      <c r="D134" s="17"/>
      <c r="E134" s="18"/>
      <c r="F134" s="18"/>
    </row>
    <row r="137" spans="2:15" ht="14.4" hidden="1" x14ac:dyDescent="0.3">
      <c r="C137" s="3" t="s">
        <v>56</v>
      </c>
      <c r="D137" s="15" t="str">
        <f>IF(C12&gt;0,IF(F33=0,"",F33*COS(PI()/180*F34))," ")</f>
        <v/>
      </c>
      <c r="F137" s="15">
        <f>IF(C38&gt;0,IF(F59=0,"",F59*COS(PI()/180*F60)),0)</f>
        <v>0</v>
      </c>
      <c r="I137" s="15">
        <f>IF(C64&gt;0,IF(F85=0,"",F85*COS(PI()/180*F86)),0)</f>
        <v>0</v>
      </c>
      <c r="L137" s="15">
        <f>IF(C90&gt;0,IF(F109=0,"",F109*COS(PI()/180*F110)),0)</f>
        <v>0</v>
      </c>
      <c r="O137" s="15">
        <f>IF(C114&gt;0,IF(F132=0,"",F132*COS(PI()/180*F133)),0)</f>
        <v>0</v>
      </c>
    </row>
    <row r="138" spans="2:15" ht="14.4" hidden="1" x14ac:dyDescent="0.3">
      <c r="C138" s="3" t="s">
        <v>57</v>
      </c>
      <c r="D138" s="15" t="str">
        <f>IF(C12&gt;0,IF(F33=0,"",F33*SIN(PI()/180*F34))," ")</f>
        <v/>
      </c>
      <c r="F138" s="15">
        <f>IF(C38&gt;0,IF(F59=0,"",F59*SIN(PI()/180*F60)),0)</f>
        <v>0</v>
      </c>
      <c r="I138" s="15">
        <f>IF(C64&gt;0,IF(F85=0,"",F85*SIN(PI()/180*F86)),0)</f>
        <v>0</v>
      </c>
      <c r="L138" s="15">
        <f>IF(C90&gt;0,IF(F109=0,"",F109*SIN(PI()/180*F110)),)</f>
        <v>0</v>
      </c>
      <c r="O138" s="15">
        <f>IF(C114&gt;0,IF(F132=0,"",F132*SIN(PI()/180*F133)),0)</f>
        <v>0</v>
      </c>
    </row>
    <row r="140" spans="2:15" ht="26.25" hidden="1" customHeight="1" x14ac:dyDescent="0.5">
      <c r="B140" s="26" t="s">
        <v>84</v>
      </c>
      <c r="C140" s="39">
        <f>SQRT(SUM(D137:O137)^2+SUM(D138:O138)^2)+C149</f>
        <v>18.489999999999998</v>
      </c>
      <c r="D140" s="24" t="s">
        <v>1</v>
      </c>
    </row>
    <row r="141" spans="2:15" ht="25.8" hidden="1" x14ac:dyDescent="0.5">
      <c r="B141" s="26"/>
      <c r="C141" s="23">
        <f>IF(C140=0,"",IF(SUM(D137:O137)=0,ROUNDUP(ATAN(SUM(D138:O138)/1)*180/PI(),0),IF(SUM(D137:O137)&lt;0,ATAN(SUM(D138:O138)/SUM(D137:O137))*180/PI()+180,ATAN(SUM(D138:O138)/SUM(D137:O137))*180/PI())))</f>
        <v>0</v>
      </c>
      <c r="D141" s="24" t="s">
        <v>5</v>
      </c>
    </row>
    <row r="143" spans="2:15" ht="14.4" hidden="1" x14ac:dyDescent="0.3">
      <c r="B143" s="3" t="str">
        <f>"TRAÇÃO TOTAL: "&amp;TEXT(C140,0)&amp;" daN"&amp;" "&amp;TEXT(C141,0)&amp;"°"</f>
        <v>TRAÇÃO TOTAL: 18 daN 0°</v>
      </c>
      <c r="C143" s="3" t="s">
        <v>92</v>
      </c>
    </row>
    <row r="144" spans="2:15" ht="14.4" hidden="1" x14ac:dyDescent="0.3">
      <c r="B144" s="3" t="str">
        <f>"TRAÇÃO MT 1° NÍVEL (100 mm do topo): "&amp;TEXT(F33,0)&amp;" daN"&amp;" "&amp;TEXT(F34,0)&amp;"°"</f>
        <v>TRAÇÃO MT 1° NÍVEL (100 mm do topo): 0 daN °</v>
      </c>
      <c r="C144" s="3" t="s">
        <v>93</v>
      </c>
    </row>
    <row r="145" spans="2:3" ht="14.4" hidden="1" x14ac:dyDescent="0.3">
      <c r="B145" s="3" t="str">
        <f>"TRAÇÃO MT 2° NÍVEL (100 mm do topo): "&amp;TEXT(F59,0)&amp;" daN"&amp;" "&amp;TEXT(F60,0)&amp;"°"</f>
        <v>TRAÇÃO MT 2° NÍVEL (100 mm do topo):  daN °</v>
      </c>
      <c r="C145" s="3" t="s">
        <v>94</v>
      </c>
    </row>
    <row r="146" spans="2:3" ht="14.4" hidden="1" x14ac:dyDescent="0.3">
      <c r="B146" s="3" t="str">
        <f>"TRAÇÃO BT (100 mm do topo): "&amp;TEXT(F85,0)&amp;" daN"&amp;" "&amp;TEXT(F86,0)&amp;"°"</f>
        <v>TRAÇÃO BT (100 mm do topo):  daN °</v>
      </c>
      <c r="C146" s="3" t="s">
        <v>38</v>
      </c>
    </row>
    <row r="147" spans="2:3" ht="14.4" hidden="1" x14ac:dyDescent="0.3">
      <c r="B147" s="3" t="str">
        <f>"TRAÇÃO RAMAIS BTZERO (100 mm do topo): "&amp;TEXT(F109,0)&amp;" daN"&amp;" "&amp;TEXT(F110,0)&amp;"°"</f>
        <v>TRAÇÃO RAMAIS BTZERO (100 mm do topo):  daN °</v>
      </c>
      <c r="C147" s="3" t="s">
        <v>96</v>
      </c>
    </row>
    <row r="148" spans="2:3" ht="14.4" hidden="1" x14ac:dyDescent="0.3">
      <c r="B148" s="3" t="str">
        <f>"TRAÇÃO RAMAIS DE LIGAÇÃO (100 mm do topo): "&amp;TEXT(F132,0)&amp;" daN"&amp;" "&amp;TEXT(F133,0)&amp;"°"</f>
        <v>TRAÇÃO RAMAIS DE LIGAÇÃO (100 mm do topo):  daN °</v>
      </c>
      <c r="C148" s="3" t="s">
        <v>95</v>
      </c>
    </row>
    <row r="149" spans="2:3" ht="14.4" hidden="1" x14ac:dyDescent="0.3">
      <c r="B149" s="3" t="s">
        <v>100</v>
      </c>
      <c r="C149" s="3">
        <f>IF(C7=Plan1!C57,VLOOKUP('Ponto (25)'!C8,Plan1!D57:E68,2,FALSE),IF(C7=Plan1!C69,VLOOKUP('Ponto (25)'!C8,Plan1!D69:E72,2,FALSE),IF(C7=Plan1!C73,VLOOKUP('Ponto (25)'!C8,Plan1!D73:E76,2,FALSE),IF(C7=Plan1!C77,VLOOKUP('Ponto (25)'!C8,Plan1!D77:E77,2,FALSE),0))))</f>
        <v>18.489999999999998</v>
      </c>
    </row>
  </sheetData>
  <protectedRanges>
    <protectedRange sqref="F3" name="Intervalo26_1"/>
    <protectedRange sqref="C3" name="Intervalo15"/>
    <protectedRange sqref="C2" name="Intervalo5"/>
    <protectedRange sqref="I3" name="Intervalo4"/>
    <protectedRange sqref="L1" name="Intervalo2"/>
  </protectedRanges>
  <dataConsolidate/>
  <mergeCells count="73">
    <mergeCell ref="E1:F1"/>
    <mergeCell ref="H1:I1"/>
    <mergeCell ref="K1:L1"/>
    <mergeCell ref="C2:L2"/>
    <mergeCell ref="C3:F3"/>
    <mergeCell ref="H3:I3"/>
    <mergeCell ref="K3:L3"/>
    <mergeCell ref="B5:E5"/>
    <mergeCell ref="C7:D7"/>
    <mergeCell ref="C8:D8"/>
    <mergeCell ref="B10:M10"/>
    <mergeCell ref="C11:D11"/>
    <mergeCell ref="F11:G11"/>
    <mergeCell ref="I11:J11"/>
    <mergeCell ref="L11:M11"/>
    <mergeCell ref="C12:D12"/>
    <mergeCell ref="F12:G12"/>
    <mergeCell ref="I12:J12"/>
    <mergeCell ref="L12:M12"/>
    <mergeCell ref="C13:D13"/>
    <mergeCell ref="F13:G13"/>
    <mergeCell ref="I13:J13"/>
    <mergeCell ref="L13:M13"/>
    <mergeCell ref="C33:D34"/>
    <mergeCell ref="B36:M36"/>
    <mergeCell ref="C37:D37"/>
    <mergeCell ref="F37:G37"/>
    <mergeCell ref="I37:J37"/>
    <mergeCell ref="L37:M37"/>
    <mergeCell ref="C38:D38"/>
    <mergeCell ref="F38:G38"/>
    <mergeCell ref="I38:J38"/>
    <mergeCell ref="L38:M38"/>
    <mergeCell ref="C39:D39"/>
    <mergeCell ref="F39:G39"/>
    <mergeCell ref="I39:J39"/>
    <mergeCell ref="L39:M39"/>
    <mergeCell ref="C59:D60"/>
    <mergeCell ref="B62:M62"/>
    <mergeCell ref="C63:D63"/>
    <mergeCell ref="F63:G63"/>
    <mergeCell ref="I63:J63"/>
    <mergeCell ref="L63:M63"/>
    <mergeCell ref="C64:D64"/>
    <mergeCell ref="F64:G64"/>
    <mergeCell ref="I64:J64"/>
    <mergeCell ref="L64:M64"/>
    <mergeCell ref="C65:D65"/>
    <mergeCell ref="F65:G65"/>
    <mergeCell ref="I65:J65"/>
    <mergeCell ref="L65:M65"/>
    <mergeCell ref="C85:D86"/>
    <mergeCell ref="B88:M88"/>
    <mergeCell ref="C89:D89"/>
    <mergeCell ref="F89:G89"/>
    <mergeCell ref="I89:J89"/>
    <mergeCell ref="L89:M89"/>
    <mergeCell ref="C90:D90"/>
    <mergeCell ref="F90:G90"/>
    <mergeCell ref="I90:J90"/>
    <mergeCell ref="L90:M90"/>
    <mergeCell ref="C109:D110"/>
    <mergeCell ref="L110:M110"/>
    <mergeCell ref="C132:D133"/>
    <mergeCell ref="B112:M112"/>
    <mergeCell ref="C113:D113"/>
    <mergeCell ref="F113:G113"/>
    <mergeCell ref="I113:J113"/>
    <mergeCell ref="L113:M113"/>
    <mergeCell ref="C114:D114"/>
    <mergeCell ref="F114:G114"/>
    <mergeCell ref="I114:J114"/>
    <mergeCell ref="L114:M114"/>
  </mergeCells>
  <dataValidations count="13">
    <dataValidation type="list" allowBlank="1" showInputMessage="1" showErrorMessage="1" sqref="C8" xr:uid="{71AD8FA9-94F0-4822-9308-4D4C9358C202}">
      <formula1>Poste</formula1>
    </dataValidation>
    <dataValidation type="list" allowBlank="1" showInputMessage="1" showErrorMessage="1" sqref="F65:G65" xr:uid="{AB68A919-470E-427E-95D3-B01F2BE52C6F}">
      <formula1>Tipo10</formula1>
    </dataValidation>
    <dataValidation type="list" allowBlank="1" showInputMessage="1" showErrorMessage="1" sqref="I39:J39" xr:uid="{03713E71-E381-4DB6-9F9E-AA6149B7844F}">
      <formula1>Tipo7</formula1>
    </dataValidation>
    <dataValidation type="list" allowBlank="1" showInputMessage="1" showErrorMessage="1" sqref="F39:G39" xr:uid="{8FE81CC6-7EAC-469A-862A-B2F87DDF5244}">
      <formula1>Tipo6</formula1>
    </dataValidation>
    <dataValidation type="list" allowBlank="1" showInputMessage="1" showErrorMessage="1" sqref="C39:D39" xr:uid="{3F8C6FD2-8FBD-42AF-8C2E-40134D729D57}">
      <formula1>tipo5</formula1>
    </dataValidation>
    <dataValidation type="list" allowBlank="1" showInputMessage="1" showErrorMessage="1" sqref="F13:G13" xr:uid="{9639C0FE-B901-46E7-ABF1-45494F126BEA}">
      <formula1>Tipo2</formula1>
    </dataValidation>
    <dataValidation type="list" allowBlank="1" showInputMessage="1" showErrorMessage="1" sqref="L65" xr:uid="{D4DC8944-46EE-4D6B-AA61-AF7B9A399E07}">
      <formula1>Tipo12</formula1>
    </dataValidation>
    <dataValidation type="list" allowBlank="1" showInputMessage="1" showErrorMessage="1" sqref="I65" xr:uid="{B9988739-82C6-4A3D-8CCE-D1BD01650E34}">
      <formula1>Tipo11</formula1>
    </dataValidation>
    <dataValidation type="list" allowBlank="1" showInputMessage="1" showErrorMessage="1" sqref="C65" xr:uid="{A4EFD12D-8298-490F-8833-635138366949}">
      <formula1>Tipo9</formula1>
    </dataValidation>
    <dataValidation type="list" allowBlank="1" showInputMessage="1" showErrorMessage="1" sqref="L39" xr:uid="{41E43950-D98A-400B-B869-412EDA8E7CC2}">
      <formula1>Tipo8</formula1>
    </dataValidation>
    <dataValidation type="list" allowBlank="1" showInputMessage="1" showErrorMessage="1" sqref="L13" xr:uid="{8369238A-51A8-4C7E-81E0-44D690E53D3E}">
      <formula1>Tipo4</formula1>
    </dataValidation>
    <dataValidation type="list" allowBlank="1" showInputMessage="1" showErrorMessage="1" sqref="I13" xr:uid="{36EDA008-4B2A-405C-859E-451CB013A236}">
      <formula1>Tipo3</formula1>
    </dataValidation>
    <dataValidation type="list" allowBlank="1" showInputMessage="1" showErrorMessage="1" sqref="C13" xr:uid="{607628D7-00C2-4CAC-8B42-5A95C6FDDC10}">
      <formula1>Tipo</formula1>
    </dataValidation>
  </dataValidations>
  <printOptions horizontalCentered="1" verticalCentered="1"/>
  <pageMargins left="0" right="0" top="0.39370078740157483" bottom="0" header="0" footer="0"/>
  <pageSetup paperSize="9" scale="6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6434219-86A8-4C68-9747-017544E9A093}">
          <x14:formula1>
            <xm:f>Plan4!$A$20:$D$20</xm:f>
          </x14:formula1>
          <xm:sqref>C7:D7</xm:sqref>
        </x14:dataValidation>
        <x14:dataValidation type="list" allowBlank="1" showInputMessage="1" showErrorMessage="1" xr:uid="{EFB53DDA-B0FE-47A2-B25E-950EFD0CFB34}">
          <x14:formula1>
            <xm:f>Plan1!$C$30:$C$45</xm:f>
          </x14:formula1>
          <xm:sqref>C114:D114 I114:J114 F114:G114 L114:M114</xm:sqref>
        </x14:dataValidation>
        <x14:dataValidation type="list" allowBlank="1" showInputMessage="1" showErrorMessage="1" xr:uid="{E17B819A-C73E-4928-810A-2238B2DDD757}">
          <x14:formula1>
            <xm:f>Plan1!$N$6:$N$8</xm:f>
          </x14:formula1>
          <xm:sqref>C64 L64 I64 F64</xm:sqref>
        </x14:dataValidation>
        <x14:dataValidation type="list" allowBlank="1" showInputMessage="1" showErrorMessage="1" xr:uid="{61C8B468-278B-4094-A70B-5A5FC827F060}">
          <x14:formula1>
            <xm:f>Plan4!$A$1:$C$1</xm:f>
          </x14:formula1>
          <xm:sqref>C12 L38 I12 L12 I38 C38 F38 F12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01ADCB5F7E69D4C9E0FB2B4A0A4EFFD" ma:contentTypeVersion="10" ma:contentTypeDescription="Crie um novo documento." ma:contentTypeScope="" ma:versionID="75569ecb1037d510b9fa96ac2e63cba1">
  <xsd:schema xmlns:xsd="http://www.w3.org/2001/XMLSchema" xmlns:xs="http://www.w3.org/2001/XMLSchema" xmlns:p="http://schemas.microsoft.com/office/2006/metadata/properties" xmlns:ns2="10c1edb4-42da-440c-9275-32aed85b72bd" xmlns:ns3="b0804f12-4173-4a26-a53f-e617f1ff0ce3" targetNamespace="http://schemas.microsoft.com/office/2006/metadata/properties" ma:root="true" ma:fieldsID="33ff0942b93d858cc0950c0527f1a19c" ns2:_="" ns3:_="">
    <xsd:import namespace="10c1edb4-42da-440c-9275-32aed85b72bd"/>
    <xsd:import namespace="b0804f12-4173-4a26-a53f-e617f1ff0c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1edb4-42da-440c-9275-32aed85b72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363085a-3678-43a0-9d68-3efb112886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804f12-4173-4a26-a53f-e617f1ff0ce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e01b918-0651-4052-b621-956a6dd159d0}" ma:internalName="TaxCatchAll" ma:showField="CatchAllData" ma:web="b0804f12-4173-4a26-a53f-e617f1ff0c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0c1edb4-42da-440c-9275-32aed85b72bd">
      <Terms xmlns="http://schemas.microsoft.com/office/infopath/2007/PartnerControls"/>
    </lcf76f155ced4ddcb4097134ff3c332f>
    <TaxCatchAll xmlns="b0804f12-4173-4a26-a53f-e617f1ff0ce3" xsi:nil="true"/>
  </documentManagement>
</p:properties>
</file>

<file path=customXml/itemProps1.xml><?xml version="1.0" encoding="utf-8"?>
<ds:datastoreItem xmlns:ds="http://schemas.openxmlformats.org/officeDocument/2006/customXml" ds:itemID="{F341A1B2-9123-434A-BDC1-4C73DF4992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c1edb4-42da-440c-9275-32aed85b72bd"/>
    <ds:schemaRef ds:uri="b0804f12-4173-4a26-a53f-e617f1ff0c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73BC388-7A71-4B5C-9EBC-4EB7397EE0E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6CC16D-C91D-4FF7-B228-846D2FC7F535}">
  <ds:schemaRefs>
    <ds:schemaRef ds:uri="http://schemas.microsoft.com/office/2006/metadata/properties"/>
    <ds:schemaRef ds:uri="http://schemas.microsoft.com/office/infopath/2007/PartnerControls"/>
    <ds:schemaRef ds:uri="10c1edb4-42da-440c-9275-32aed85b72bd"/>
    <ds:schemaRef ds:uri="b0804f12-4173-4a26-a53f-e617f1ff0ce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15</vt:i4>
      </vt:variant>
    </vt:vector>
  </HeadingPairs>
  <TitlesOfParts>
    <vt:vector size="32" baseType="lpstr">
      <vt:lpstr>Plan1</vt:lpstr>
      <vt:lpstr>Plan4</vt:lpstr>
      <vt:lpstr>Ponto (1)</vt:lpstr>
      <vt:lpstr>Ponto (2)</vt:lpstr>
      <vt:lpstr>Ponto (3)</vt:lpstr>
      <vt:lpstr>Ponto (4)</vt:lpstr>
      <vt:lpstr>Ponto (5)</vt:lpstr>
      <vt:lpstr>Ponto (6)</vt:lpstr>
      <vt:lpstr>Ponto (8)</vt:lpstr>
      <vt:lpstr>Ponto (10)</vt:lpstr>
      <vt:lpstr>Ponto (13)</vt:lpstr>
      <vt:lpstr>Ponto (15)</vt:lpstr>
      <vt:lpstr>Ponto (17)</vt:lpstr>
      <vt:lpstr>Ponto (18)</vt:lpstr>
      <vt:lpstr>Ponto (21)</vt:lpstr>
      <vt:lpstr>Ponto (23)</vt:lpstr>
      <vt:lpstr>Ponto (25)</vt:lpstr>
      <vt:lpstr>'Ponto (1)'!Area_de_impressao</vt:lpstr>
      <vt:lpstr>'Ponto (10)'!Area_de_impressao</vt:lpstr>
      <vt:lpstr>'Ponto (13)'!Area_de_impressao</vt:lpstr>
      <vt:lpstr>'Ponto (15)'!Area_de_impressao</vt:lpstr>
      <vt:lpstr>'Ponto (17)'!Area_de_impressao</vt:lpstr>
      <vt:lpstr>'Ponto (18)'!Area_de_impressao</vt:lpstr>
      <vt:lpstr>'Ponto (2)'!Area_de_impressao</vt:lpstr>
      <vt:lpstr>'Ponto (21)'!Area_de_impressao</vt:lpstr>
      <vt:lpstr>'Ponto (23)'!Area_de_impressao</vt:lpstr>
      <vt:lpstr>'Ponto (25)'!Area_de_impressao</vt:lpstr>
      <vt:lpstr>'Ponto (3)'!Area_de_impressao</vt:lpstr>
      <vt:lpstr>'Ponto (4)'!Area_de_impressao</vt:lpstr>
      <vt:lpstr>'Ponto (5)'!Area_de_impressao</vt:lpstr>
      <vt:lpstr>'Ponto (6)'!Area_de_impressao</vt:lpstr>
      <vt:lpstr>'Ponto (8)'!Area_de_impressao</vt:lpstr>
    </vt:vector>
  </TitlesOfParts>
  <Company>Light Serviços de Eletricidade S.A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garcia vilela 3153100</dc:creator>
  <cp:lastModifiedBy>Jonatas da Rocha Lampa</cp:lastModifiedBy>
  <cp:lastPrinted>2022-07-18T17:17:09Z</cp:lastPrinted>
  <dcterms:created xsi:type="dcterms:W3CDTF">2021-05-18T18:29:50Z</dcterms:created>
  <dcterms:modified xsi:type="dcterms:W3CDTF">2025-09-01T18:16:01Z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0x010100601ADCB5F7E69D4C9E0FB2B4A0A4EFFD</vt:lpwstr>
  </property>
</Properties>
</file>